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hidePivotFieldList="1"/>
  <mc:AlternateContent xmlns:mc="http://schemas.openxmlformats.org/markup-compatibility/2006">
    <mc:Choice Requires="x15">
      <x15ac:absPath xmlns:x15ac="http://schemas.microsoft.com/office/spreadsheetml/2010/11/ac" url="https://hrsrealestateag.sharepoint.com/sites/Calculation/Freigegebene Dokumente/General/A1- ARCHITECTURE/02-Projets de reference/03-DataBase-DonneesProjets/"/>
    </mc:Choice>
  </mc:AlternateContent>
  <xr:revisionPtr revIDLastSave="0" documentId="8_{C625AA8D-19E5-4708-B434-1EFAD76F54DF}" xr6:coauthVersionLast="47" xr6:coauthVersionMax="47" xr10:uidLastSave="{00000000-0000-0000-0000-000000000000}"/>
  <bookViews>
    <workbookView xWindow="39270" yWindow="1200" windowWidth="26745" windowHeight="12795" tabRatio="693" firstSheet="2" activeTab="2" xr2:uid="{FA0AD23E-13F6-4CA2-92FB-B9B940717730}"/>
  </bookViews>
  <sheets>
    <sheet name="InfosProjet" sheetId="3" r:id="rId1"/>
    <sheet name="InfosBatiment" sheetId="13" r:id="rId2"/>
    <sheet name="SurfacesBrutesVolumeSIA416" sheetId="6" r:id="rId3"/>
    <sheet name="SurfacesNettesSIA416" sheetId="7" r:id="rId4"/>
    <sheet name="SurfacesUSPI" sheetId="8" r:id="rId5"/>
    <sheet name="ListeLogements" sheetId="5" r:id="rId6"/>
    <sheet name="SurfacesEnveloppe" sheetId="1" r:id="rId7"/>
    <sheet name="Documents" sheetId="11" r:id="rId8"/>
    <sheet name="Listes formulaire" sheetId="2" r:id="rId9"/>
  </sheets>
  <definedNames>
    <definedName name="_xlnm._FilterDatabase" localSheetId="8" hidden="1">'Listes formulaire'!$N$1:$N$61</definedName>
  </definedNames>
  <calcPr fullCalcOnLoad="1" calcId="191028"/>
  <pivotCaches>
    <pivotCache cacheId="87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<sst xmlns="http://schemas.openxmlformats.org/spreadsheetml/2006/main" count="558" uniqueCount="558">
  <si>
    <t>Catégorie</t>
  </si>
  <si>
    <t>Description</t>
  </si>
  <si>
    <t>Valeur</t>
  </si>
  <si>
    <t>Identification du projet</t>
  </si>
  <si>
    <t>ID projet</t>
  </si>
  <si>
    <t>Canton</t>
  </si>
  <si>
    <t>Commune</t>
  </si>
  <si>
    <t>Nom Projet HRS</t>
  </si>
  <si>
    <t>Classification du projet</t>
  </si>
  <si>
    <t>Categorie d'Ouvrage</t>
  </si>
  <si>
    <t>Type d'intervention</t>
  </si>
  <si>
    <t>Source d'information</t>
  </si>
  <si>
    <t>Commentaire</t>
  </si>
  <si>
    <t>Origine de l'information</t>
  </si>
  <si>
    <t>Collaborateur HRS qui a saisi l'information</t>
  </si>
  <si>
    <t>Phase du projet</t>
  </si>
  <si>
    <t>Date fin chantier</t>
  </si>
  <si>
    <t>Organisation du bâtiment</t>
  </si>
  <si>
    <t>Nbr de bâtiments (lots)</t>
  </si>
  <si>
    <t>Nbr d'étages hors-sol</t>
  </si>
  <si>
    <t>Nbr d'étages sous-sol</t>
  </si>
  <si>
    <t>Infos Logements</t>
  </si>
  <si>
    <t>Nbr total de logements</t>
  </si>
  <si>
    <t>Gamme logements principaux</t>
  </si>
  <si>
    <t>Gamme logements sécondaires</t>
  </si>
  <si>
    <t>Nbr logements type-Studio</t>
  </si>
  <si>
    <t>Nbr logements type-1 chambre</t>
  </si>
  <si>
    <t>Nbr logements type-2 chambres</t>
  </si>
  <si>
    <t>Nbr logements type-3 chambres</t>
  </si>
  <si>
    <t>Nbr logements type-4 chambres</t>
  </si>
  <si>
    <t>Nbr logements type-5 chambres</t>
  </si>
  <si>
    <t>Nbr de chambres</t>
  </si>
  <si>
    <t>Nbr de pièces VD</t>
  </si>
  <si>
    <t>Nbr de pièces GE</t>
  </si>
  <si>
    <t>Nbr places protégés (abris pc)</t>
  </si>
  <si>
    <t>Type exploitation</t>
  </si>
  <si>
    <t>Infos Parking</t>
  </si>
  <si>
    <t>Nbr places de stationnement voiture dans parking intérieur</t>
  </si>
  <si>
    <t>Nbr places de stationnement voiture à l'extérieur</t>
  </si>
  <si>
    <t>Nbr places de stationnement 2RM dans parking intérieur</t>
  </si>
  <si>
    <t>Nbr places de stationnement 2RM à l'extérieur</t>
  </si>
  <si>
    <t>Nbr places de stationnement vélos à l'intérieur</t>
  </si>
  <si>
    <t>Nbr places de stationnement vélos à l'extérieur</t>
  </si>
  <si>
    <t>Confort du parking selon VSS</t>
  </si>
  <si>
    <t>Caractéristiques techniques CVSE</t>
  </si>
  <si>
    <t>Labellisation</t>
  </si>
  <si>
    <t>Système de production de chaleur</t>
  </si>
  <si>
    <t>Système de ventilation</t>
  </si>
  <si>
    <t>Bâtiment grande hauteur</t>
  </si>
  <si>
    <t>Surpression</t>
  </si>
  <si>
    <t>Nbr de points d'eau</t>
  </si>
  <si>
    <t>Position des monoblocs</t>
  </si>
  <si>
    <t>SRE-Surface de Référence Energétique</t>
  </si>
  <si>
    <t>Caractéristiques constructives</t>
  </si>
  <si>
    <t>Façade porteuse</t>
  </si>
  <si>
    <t>Système constructif de façade</t>
  </si>
  <si>
    <t>Type de revêtement de façade</t>
  </si>
  <si>
    <t>Type de mur d'enceinte</t>
  </si>
  <si>
    <t>Type de toiture</t>
  </si>
  <si>
    <t xml:space="preserve">Type de menuiserie </t>
  </si>
  <si>
    <t>Épaisseur moyenne des dalles étage type (cm)</t>
  </si>
  <si>
    <t>Épaisseur moyenne des façades (cm)</t>
  </si>
  <si>
    <t>Système structurel</t>
  </si>
  <si>
    <t xml:space="preserve">Paramères urbanistiques </t>
  </si>
  <si>
    <t>ST-Surface du Terrain</t>
  </si>
  <si>
    <t>STd-Surface de Terrain déterminante</t>
  </si>
  <si>
    <t>IUS</t>
  </si>
  <si>
    <t>IOS</t>
  </si>
  <si>
    <t>SP max</t>
  </si>
  <si>
    <t>SPd max</t>
  </si>
  <si>
    <t>ID Projet</t>
  </si>
  <si>
    <t>Partie d'Ouvrage</t>
  </si>
  <si>
    <t>Nbr Cages d'escaliers</t>
  </si>
  <si>
    <t>Type de cage d'escalier selon catalogue HRS</t>
  </si>
  <si>
    <t>Forme du bâtiment</t>
  </si>
  <si>
    <t>Largeur du bâtiment (m)</t>
  </si>
  <si>
    <t>Longueur  du bâtiment</t>
  </si>
  <si>
    <t>Categorie SIA416</t>
  </si>
  <si>
    <t>Etage</t>
  </si>
  <si>
    <t>Decoupage</t>
  </si>
  <si>
    <t>Largeur globale</t>
  </si>
  <si>
    <t>Longueur globale</t>
  </si>
  <si>
    <t>Perimètre</t>
  </si>
  <si>
    <t>Hauteur libre (m)</t>
  </si>
  <si>
    <t>Hauteur brute (m)</t>
  </si>
  <si>
    <t>m2</t>
  </si>
  <si>
    <t>m3</t>
  </si>
  <si>
    <t>Affectation</t>
  </si>
  <si>
    <t>Appartement_Unite</t>
  </si>
  <si>
    <t>Nºlocal</t>
  </si>
  <si>
    <t>Nom du local</t>
  </si>
  <si>
    <t>Categorie USPI</t>
  </si>
  <si>
    <t>CodeAppartement</t>
  </si>
  <si>
    <t>Nom typologie</t>
  </si>
  <si>
    <t>Exploitation</t>
  </si>
  <si>
    <t>Gamme de logement</t>
  </si>
  <si>
    <t>Nbr de pieces (GE)</t>
  </si>
  <si>
    <t>Nbr de pieces (VD)</t>
  </si>
  <si>
    <t>Partie de l'enveloppe</t>
  </si>
  <si>
    <t>Longueur (m)</t>
  </si>
  <si>
    <t>Hauteur (m)</t>
  </si>
  <si>
    <t>Surface Brutte</t>
  </si>
  <si>
    <t>Surface nette (m2)</t>
  </si>
  <si>
    <t>Surface vitrée</t>
  </si>
  <si>
    <t>Catégorie SIA</t>
  </si>
  <si>
    <t>SFN</t>
  </si>
  <si>
    <t>Étiquettes de lignes</t>
  </si>
  <si>
    <t>StoreyByTgm</t>
  </si>
  <si>
    <t>Somme de Perimeter</t>
  </si>
  <si>
    <t>Moyenne de GrossHeight</t>
  </si>
  <si>
    <t>Somme de NetArea</t>
  </si>
  <si>
    <t>Somme de GrossArea</t>
  </si>
  <si>
    <t>BAT A</t>
  </si>
  <si>
    <t>Attique</t>
  </si>
  <si>
    <t>Rez Inferieur</t>
  </si>
  <si>
    <t>Rez Superieur</t>
  </si>
  <si>
    <t>Sous Sol</t>
  </si>
  <si>
    <t>Toiture</t>
  </si>
  <si>
    <t>BAT B</t>
  </si>
  <si>
    <t>BAT C</t>
  </si>
  <si>
    <t>BAT D</t>
  </si>
  <si>
    <t>Total général</t>
  </si>
  <si>
    <t>Type de document</t>
  </si>
  <si>
    <t>Nom du document</t>
  </si>
  <si>
    <t>URL</t>
  </si>
  <si>
    <t>Niveau</t>
  </si>
  <si>
    <t>Nbr de pieces</t>
  </si>
  <si>
    <t>Nom du local (pièce S.Nette)</t>
  </si>
  <si>
    <t>Code</t>
  </si>
  <si>
    <t>Nom du local programme specifique</t>
  </si>
  <si>
    <t>Cantons</t>
  </si>
  <si>
    <t>Type Intervention</t>
  </si>
  <si>
    <t>Oui/non</t>
  </si>
  <si>
    <t>Labelisation</t>
  </si>
  <si>
    <t>Gamme Logement</t>
  </si>
  <si>
    <t>système constructif de façade</t>
  </si>
  <si>
    <t>Type de menuiserie</t>
  </si>
  <si>
    <t>Description surface SIA 416</t>
  </si>
  <si>
    <t>Code SIA 416</t>
  </si>
  <si>
    <t>Logement (100-90% SU)</t>
  </si>
  <si>
    <t>S05</t>
  </si>
  <si>
    <t>Sous-sol</t>
  </si>
  <si>
    <t>General</t>
  </si>
  <si>
    <t>1P</t>
  </si>
  <si>
    <t>Fiche projet HRS</t>
  </si>
  <si>
    <t>Abris PC</t>
  </si>
  <si>
    <t>accueil creche</t>
  </si>
  <si>
    <t>Abreviation</t>
  </si>
  <si>
    <t>Nom Canton</t>
  </si>
  <si>
    <t>Langue</t>
  </si>
  <si>
    <t>Renovation</t>
  </si>
  <si>
    <t>Oui</t>
  </si>
  <si>
    <t>Minergie</t>
  </si>
  <si>
    <t>Béton traditionnel</t>
  </si>
  <si>
    <t>Standard</t>
  </si>
  <si>
    <t>Simple flux</t>
  </si>
  <si>
    <t>Maçon- B.A.</t>
  </si>
  <si>
    <t>Peinture sur B.A.</t>
  </si>
  <si>
    <t>Mur en B.A avec talus</t>
  </si>
  <si>
    <t>Toiture  plate végétalisé extensive</t>
  </si>
  <si>
    <t>bois</t>
  </si>
  <si>
    <t>CAD</t>
  </si>
  <si>
    <t>PPE</t>
  </si>
  <si>
    <t>Surface de Construction (SC)</t>
  </si>
  <si>
    <t>SC</t>
  </si>
  <si>
    <t>Barre</t>
  </si>
  <si>
    <t>Surface nette habitabe</t>
  </si>
  <si>
    <t>Facade global</t>
  </si>
  <si>
    <t>Plan d'étge type</t>
  </si>
  <si>
    <t>Logement Mixte (&gt;10% autres affectations)</t>
  </si>
  <si>
    <t>S04</t>
  </si>
  <si>
    <t>Activites</t>
  </si>
  <si>
    <t>1.5P</t>
  </si>
  <si>
    <t>Documents architecte</t>
  </si>
  <si>
    <t>Allée de circulation</t>
  </si>
  <si>
    <t>atelier conditionnement</t>
  </si>
  <si>
    <t>AG</t>
  </si>
  <si>
    <t>Aargau</t>
  </si>
  <si>
    <t>DE</t>
  </si>
  <si>
    <t>Nouvelle construction</t>
  </si>
  <si>
    <t>Non</t>
  </si>
  <si>
    <t>Minergie P</t>
  </si>
  <si>
    <t>Bois</t>
  </si>
  <si>
    <t>moyenne</t>
  </si>
  <si>
    <t>Double flux</t>
  </si>
  <si>
    <t>Maçon-Brique</t>
  </si>
  <si>
    <t>Crépi</t>
  </si>
  <si>
    <t>Palplanche</t>
  </si>
  <si>
    <t>Toiture plate avec gravier</t>
  </si>
  <si>
    <t>bois-métal</t>
  </si>
  <si>
    <t>Pompe à chaleur air-eau</t>
  </si>
  <si>
    <t>Loyer Libre</t>
  </si>
  <si>
    <t>Surface de Dégagement (SD)</t>
  </si>
  <si>
    <t>SD</t>
  </si>
  <si>
    <t>Bloc en L</t>
  </si>
  <si>
    <t>RDC</t>
  </si>
  <si>
    <t>Surface habitable</t>
  </si>
  <si>
    <t>Partie vitrée de façade</t>
  </si>
  <si>
    <t>Plan du RDC</t>
  </si>
  <si>
    <t>Activités (Bureaux, Artisanat, Commerce)</t>
  </si>
  <si>
    <t>S03</t>
  </si>
  <si>
    <t>Administratif</t>
  </si>
  <si>
    <t>2P</t>
  </si>
  <si>
    <t>HRS</t>
  </si>
  <si>
    <t>AMEX.</t>
  </si>
  <si>
    <t>atelier mecanique</t>
  </si>
  <si>
    <t>AR</t>
  </si>
  <si>
    <t>Appenzell Ausserrhoden</t>
  </si>
  <si>
    <t>Reno et nouvelle construction</t>
  </si>
  <si>
    <t>Non concerné</t>
  </si>
  <si>
    <t>Minergie ECO</t>
  </si>
  <si>
    <t>Mixte Bois-Béton</t>
  </si>
  <si>
    <t>haute</t>
  </si>
  <si>
    <t>Maçon pré-mur</t>
  </si>
  <si>
    <t>Bardage bois</t>
  </si>
  <si>
    <t>Parois berlinoise</t>
  </si>
  <si>
    <t>Toiture en pente en tuile</t>
  </si>
  <si>
    <t>métal</t>
  </si>
  <si>
    <t>Autre</t>
  </si>
  <si>
    <t>Loyer contrôlé</t>
  </si>
  <si>
    <t>Surface de Plancher (SP)</t>
  </si>
  <si>
    <t>SP</t>
  </si>
  <si>
    <t>Blocs en îlot</t>
  </si>
  <si>
    <t>Surface brute habitable</t>
  </si>
  <si>
    <t>Partie pleine</t>
  </si>
  <si>
    <t>Plans du Sous-sol</t>
  </si>
  <si>
    <t>Industriel</t>
  </si>
  <si>
    <t>S02</t>
  </si>
  <si>
    <t>Industrie/artisanat</t>
  </si>
  <si>
    <t>2.5P</t>
  </si>
  <si>
    <t>Atelier</t>
  </si>
  <si>
    <t>biberonnerie creche</t>
  </si>
  <si>
    <t>AI</t>
  </si>
  <si>
    <t>Appenzell Innerrhoden</t>
  </si>
  <si>
    <t>Demolition</t>
  </si>
  <si>
    <t>Non-connu</t>
  </si>
  <si>
    <t>Minergie P-ECO</t>
  </si>
  <si>
    <t>Métal</t>
  </si>
  <si>
    <t>Luxe</t>
  </si>
  <si>
    <t>Charpentier-Structure bois</t>
  </si>
  <si>
    <t>Bardage métallique</t>
  </si>
  <si>
    <t>Parois parisienne</t>
  </si>
  <si>
    <t>Toiture en pente aveec habillage métallique</t>
  </si>
  <si>
    <t>PVC</t>
  </si>
  <si>
    <t>Mixte</t>
  </si>
  <si>
    <t>Surface des Abords (SA)</t>
  </si>
  <si>
    <t>SA</t>
  </si>
  <si>
    <t>Surface externe</t>
  </si>
  <si>
    <t>Surface de toiture</t>
  </si>
  <si>
    <t>Coupe</t>
  </si>
  <si>
    <t>Ecole</t>
  </si>
  <si>
    <t>S01</t>
  </si>
  <si>
    <t>Bureaux</t>
  </si>
  <si>
    <t>3P</t>
  </si>
  <si>
    <t>boulangerie</t>
  </si>
  <si>
    <t>BL</t>
  </si>
  <si>
    <t>Basel-Landschaft</t>
  </si>
  <si>
    <t>Haute Performance Energetique</t>
  </si>
  <si>
    <t>Mixte-Métal-béton</t>
  </si>
  <si>
    <t>Façadier-Panneau sandwich métallique</t>
  </si>
  <si>
    <t>Polycarbonate</t>
  </si>
  <si>
    <t>Parois moulée</t>
  </si>
  <si>
    <t>métal-PVC</t>
  </si>
  <si>
    <t>Surface des Arbords Aménagés (SAA)</t>
  </si>
  <si>
    <t>SAA</t>
  </si>
  <si>
    <t>Carré</t>
  </si>
  <si>
    <t>Surface de VenteBrute</t>
  </si>
  <si>
    <t>Murs d'enceinte</t>
  </si>
  <si>
    <t>Elevation</t>
  </si>
  <si>
    <t>Hôtel</t>
  </si>
  <si>
    <t>N00</t>
  </si>
  <si>
    <t>Hors-sol</t>
  </si>
  <si>
    <t>Commerce</t>
  </si>
  <si>
    <t>3.5P</t>
  </si>
  <si>
    <t>Balcon</t>
  </si>
  <si>
    <t>bureau</t>
  </si>
  <si>
    <t>BS</t>
  </si>
  <si>
    <t>Basel-Stadt</t>
  </si>
  <si>
    <t>Aucune</t>
  </si>
  <si>
    <t>Préfabriqué sandwich en Béton</t>
  </si>
  <si>
    <t>Fibro-ciment</t>
  </si>
  <si>
    <t>Surface des Arbords Non-Aménagés (SAN)</t>
  </si>
  <si>
    <t>SAN</t>
  </si>
  <si>
    <t>étoile</t>
  </si>
  <si>
    <t>Surface de Vente Nette</t>
  </si>
  <si>
    <t>Détail de façade</t>
  </si>
  <si>
    <t>Sport</t>
  </si>
  <si>
    <t>N01</t>
  </si>
  <si>
    <t>Logement general</t>
  </si>
  <si>
    <t>4P</t>
  </si>
  <si>
    <t>Bassin Retention</t>
  </si>
  <si>
    <t>bureau activite</t>
  </si>
  <si>
    <t>BE</t>
  </si>
  <si>
    <t>Berne</t>
  </si>
  <si>
    <t>Mur rideau</t>
  </si>
  <si>
    <t>Parement en Béton préfabriqué</t>
  </si>
  <si>
    <t>Surface d'Installations (SI)</t>
  </si>
  <si>
    <t>SI</t>
  </si>
  <si>
    <t>triangle</t>
  </si>
  <si>
    <t>Détail de toiture</t>
  </si>
  <si>
    <t>EMS</t>
  </si>
  <si>
    <t>N02</t>
  </si>
  <si>
    <t>Logement Loyer Contrôlé</t>
  </si>
  <si>
    <t>4.5P</t>
  </si>
  <si>
    <r>
      <t xml:space="preserve">Buanderie </t>
    </r>
    <r>
      <rPr>
        <i/>
        <sz val="11"/>
        <color theme="1"/>
        <rFont val="Aptos Narrow"/>
        <family val="2"/>
        <scheme val="minor"/>
      </rPr>
      <t xml:space="preserve"> (pièce du logement)</t>
    </r>
  </si>
  <si>
    <t>bureau administration</t>
  </si>
  <si>
    <t>FR</t>
  </si>
  <si>
    <t>Fribourg</t>
  </si>
  <si>
    <t>FR_DE</t>
  </si>
  <si>
    <t>Habillage minéral</t>
  </si>
  <si>
    <t>Surface du Terrain</t>
  </si>
  <si>
    <t>ST</t>
  </si>
  <si>
    <t>rond</t>
  </si>
  <si>
    <t>Plan de situation</t>
  </si>
  <si>
    <t>Santé</t>
  </si>
  <si>
    <t>N03</t>
  </si>
  <si>
    <t>Logement Loyer Libre</t>
  </si>
  <si>
    <t>5P</t>
  </si>
  <si>
    <r>
      <t>Bureau</t>
    </r>
    <r>
      <rPr>
        <i/>
        <sz val="11"/>
        <color theme="1"/>
        <rFont val="Aptos Narrow"/>
        <family val="2"/>
        <scheme val="minor"/>
      </rPr>
      <t xml:space="preserve"> (pièce du logement)</t>
    </r>
  </si>
  <si>
    <t>bureau controle</t>
  </si>
  <si>
    <t>GE</t>
  </si>
  <si>
    <t>Geneve</t>
  </si>
  <si>
    <t>Surface Externe de Construction (SEC)</t>
  </si>
  <si>
    <t>SEC</t>
  </si>
  <si>
    <t>ovale</t>
  </si>
  <si>
    <t>Plans surface SIA 416</t>
  </si>
  <si>
    <t>Centre commercial</t>
  </si>
  <si>
    <t>N04</t>
  </si>
  <si>
    <t>Logement PPE</t>
  </si>
  <si>
    <t>5.5P</t>
  </si>
  <si>
    <t>bureau direction</t>
  </si>
  <si>
    <t>GL</t>
  </si>
  <si>
    <t>Glarus</t>
  </si>
  <si>
    <t>Surface Externe de Dégagement (SED)</t>
  </si>
  <si>
    <t>SED</t>
  </si>
  <si>
    <t>Plans surfaces USPI</t>
  </si>
  <si>
    <t>N05</t>
  </si>
  <si>
    <t>Parking</t>
  </si>
  <si>
    <t>6P</t>
  </si>
  <si>
    <t>Cage d'escalier</t>
  </si>
  <si>
    <t>bureau msp</t>
  </si>
  <si>
    <t>GR</t>
  </si>
  <si>
    <t>Grisons</t>
  </si>
  <si>
    <t>Surface Externe de Plancher (SEP)</t>
  </si>
  <si>
    <t>SEP</t>
  </si>
  <si>
    <t>x</t>
  </si>
  <si>
    <t>N06</t>
  </si>
  <si>
    <t>Locaux communs</t>
  </si>
  <si>
    <t>6.5P</t>
  </si>
  <si>
    <t>Cave</t>
  </si>
  <si>
    <t>bureau responsable</t>
  </si>
  <si>
    <t>JU</t>
  </si>
  <si>
    <t>Jura</t>
  </si>
  <si>
    <t>Surface Externe d'Installations (SEI)</t>
  </si>
  <si>
    <t>SEI</t>
  </si>
  <si>
    <t>xxx</t>
  </si>
  <si>
    <t>N07</t>
  </si>
  <si>
    <t>Locaux de stockage</t>
  </si>
  <si>
    <t>7P</t>
  </si>
  <si>
    <t>Chambre principale</t>
  </si>
  <si>
    <t>bureau responsable administration</t>
  </si>
  <si>
    <t>LU</t>
  </si>
  <si>
    <t>Luzern</t>
  </si>
  <si>
    <t>Surface Externe Utile (SEU)</t>
  </si>
  <si>
    <t>SEU</t>
  </si>
  <si>
    <t>N08</t>
  </si>
  <si>
    <t>Locaux techniques</t>
  </si>
  <si>
    <t>Chambre secondaire</t>
  </si>
  <si>
    <t>bureau responsable rh communication</t>
  </si>
  <si>
    <t>NE</t>
  </si>
  <si>
    <t>Neuchâtel</t>
  </si>
  <si>
    <t>Surface Nette (SN)</t>
  </si>
  <si>
    <t>SN</t>
  </si>
  <si>
    <t>N09</t>
  </si>
  <si>
    <t>Gaines</t>
  </si>
  <si>
    <t>Coin à manger</t>
  </si>
  <si>
    <t>bureau secretariat</t>
  </si>
  <si>
    <t>NW</t>
  </si>
  <si>
    <t>Nidwalden</t>
  </si>
  <si>
    <t>Surface Utile (SU)</t>
  </si>
  <si>
    <t>SU</t>
  </si>
  <si>
    <t>N10</t>
  </si>
  <si>
    <t>Circulation verticale</t>
  </si>
  <si>
    <t>Commerces</t>
  </si>
  <si>
    <t>bureau service social</t>
  </si>
  <si>
    <t>OW</t>
  </si>
  <si>
    <t>Obwalden</t>
  </si>
  <si>
    <t>Surface Utile Principale (SUP)</t>
  </si>
  <si>
    <t>SUP</t>
  </si>
  <si>
    <t>N11</t>
  </si>
  <si>
    <t>Distribution</t>
  </si>
  <si>
    <r>
      <t xml:space="preserve">Couloir  </t>
    </r>
    <r>
      <rPr>
        <i/>
        <sz val="11"/>
        <color theme="1"/>
        <rFont val="Aptos Narrow"/>
        <family val="2"/>
        <scheme val="minor"/>
      </rPr>
      <t>(pièce du logement)</t>
    </r>
  </si>
  <si>
    <t>bureau technique</t>
  </si>
  <si>
    <t>SH</t>
  </si>
  <si>
    <t>Schaffhausen</t>
  </si>
  <si>
    <t>Surface Utile Secondaire (SUS)</t>
  </si>
  <si>
    <t>SUS</t>
  </si>
  <si>
    <t>N12</t>
  </si>
  <si>
    <t>Jardin commun</t>
  </si>
  <si>
    <t>Couloirs immeuble</t>
  </si>
  <si>
    <t>chambre congelation</t>
  </si>
  <si>
    <t>SZ</t>
  </si>
  <si>
    <t>Schwyz</t>
  </si>
  <si>
    <t>Surface Externe Nette (SEN)</t>
  </si>
  <si>
    <t>SEN</t>
  </si>
  <si>
    <t>N13</t>
  </si>
  <si>
    <t>Jardin privé</t>
  </si>
  <si>
    <t>Cuisine</t>
  </si>
  <si>
    <t>chambre congelation cuisine</t>
  </si>
  <si>
    <t>SO</t>
  </si>
  <si>
    <t>Solothurn</t>
  </si>
  <si>
    <t>N14</t>
  </si>
  <si>
    <t>Depots</t>
  </si>
  <si>
    <t>chambre creche</t>
  </si>
  <si>
    <t>SG</t>
  </si>
  <si>
    <t>St. Gallen</t>
  </si>
  <si>
    <t>N15</t>
  </si>
  <si>
    <t>Dressing</t>
  </si>
  <si>
    <t>chambre froide</t>
  </si>
  <si>
    <t>TG</t>
  </si>
  <si>
    <t>Thurgau</t>
  </si>
  <si>
    <t>N16</t>
  </si>
  <si>
    <t>Escaliers (dans le logement)</t>
  </si>
  <si>
    <t>chambre froide congelation</t>
  </si>
  <si>
    <t>TI</t>
  </si>
  <si>
    <t>Ticino</t>
  </si>
  <si>
    <t>IT</t>
  </si>
  <si>
    <t>N17</t>
  </si>
  <si>
    <t>Espace commun</t>
  </si>
  <si>
    <t>chambre froide cuisine</t>
  </si>
  <si>
    <t>UR</t>
  </si>
  <si>
    <t>Uri</t>
  </si>
  <si>
    <t>N18</t>
  </si>
  <si>
    <t>Espace de travail</t>
  </si>
  <si>
    <t>chambre froide patisserie</t>
  </si>
  <si>
    <t>VS</t>
  </si>
  <si>
    <t>Valais</t>
  </si>
  <si>
    <t>N19</t>
  </si>
  <si>
    <t>Espace Toiture</t>
  </si>
  <si>
    <t>conditionnement farine</t>
  </si>
  <si>
    <t>VD</t>
  </si>
  <si>
    <t>Vaud</t>
  </si>
  <si>
    <t>N20</t>
  </si>
  <si>
    <t>Dépôts</t>
  </si>
  <si>
    <t>Gaine Ascenseur</t>
  </si>
  <si>
    <t>conditionnement speciaux</t>
  </si>
  <si>
    <t>ZG</t>
  </si>
  <si>
    <t>Zug</t>
  </si>
  <si>
    <t>ATT</t>
  </si>
  <si>
    <t>Local Concierge</t>
  </si>
  <si>
    <t>Gaine technique</t>
  </si>
  <si>
    <t>couloir commerce</t>
  </si>
  <si>
    <t>ZH</t>
  </si>
  <si>
    <t>Zürich</t>
  </si>
  <si>
    <t>TOI</t>
  </si>
  <si>
    <t>Local CVC</t>
  </si>
  <si>
    <r>
      <t xml:space="preserve">Hall </t>
    </r>
    <r>
      <rPr>
        <i/>
        <sz val="11"/>
        <color theme="1"/>
        <rFont val="Aptos Narrow"/>
        <family val="2"/>
        <scheme val="minor"/>
      </rPr>
      <t>(pièce du logement)</t>
    </r>
  </si>
  <si>
    <t>couloir creche</t>
  </si>
  <si>
    <t>Hors-Sol</t>
  </si>
  <si>
    <t>Local Electrique</t>
  </si>
  <si>
    <t>Hall immeuble</t>
  </si>
  <si>
    <t>depot complementaire</t>
  </si>
  <si>
    <t>Local Poussette</t>
  </si>
  <si>
    <t>Jardin</t>
  </si>
  <si>
    <t>depot creche</t>
  </si>
  <si>
    <t>Ensemble</t>
  </si>
  <si>
    <t>Local Sanitaire</t>
  </si>
  <si>
    <t>Local a outils</t>
  </si>
  <si>
    <t>depot expedition</t>
  </si>
  <si>
    <t>AMEX</t>
  </si>
  <si>
    <t>Local technique</t>
  </si>
  <si>
    <t>Local Buanderie</t>
  </si>
  <si>
    <t>depot interieur</t>
  </si>
  <si>
    <t>autres</t>
  </si>
  <si>
    <t>Divers</t>
  </si>
  <si>
    <t>Local vélos</t>
  </si>
  <si>
    <t>Local chaufferie</t>
  </si>
  <si>
    <t>depot matiere premiere</t>
  </si>
  <si>
    <t>Loggia</t>
  </si>
  <si>
    <t>Local commercial</t>
  </si>
  <si>
    <t>depot produit fini</t>
  </si>
  <si>
    <t>Local conciergerie</t>
  </si>
  <si>
    <t>depot stockage base</t>
  </si>
  <si>
    <t>depot stockage bouchon</t>
  </si>
  <si>
    <t>Terrasse</t>
  </si>
  <si>
    <t>local Poubelle</t>
  </si>
  <si>
    <t>depot stockage emballage</t>
  </si>
  <si>
    <t>Local Pousettes</t>
  </si>
  <si>
    <t>espace etuve</t>
  </si>
  <si>
    <t>Buanderie</t>
  </si>
  <si>
    <t>espace formation</t>
  </si>
  <si>
    <t>Abris/Caves</t>
  </si>
  <si>
    <t>Local Sprinkler</t>
  </si>
  <si>
    <t>espace four</t>
  </si>
  <si>
    <t>Cage d'ascenseurs</t>
  </si>
  <si>
    <t>Local Technique</t>
  </si>
  <si>
    <t>espace integration</t>
  </si>
  <si>
    <t>Cage d'escaliers</t>
  </si>
  <si>
    <t>Local Velos</t>
  </si>
  <si>
    <t>espace livraison</t>
  </si>
  <si>
    <t>Caves</t>
  </si>
  <si>
    <t>Local Ventilation</t>
  </si>
  <si>
    <t>espace refrigerateur</t>
  </si>
  <si>
    <t>hall accueil</t>
  </si>
  <si>
    <t>Parcours extérieur immeuble</t>
  </si>
  <si>
    <t>hall administration</t>
  </si>
  <si>
    <t>infirmerie</t>
  </si>
  <si>
    <t>Place moto</t>
  </si>
  <si>
    <t>laverie</t>
  </si>
  <si>
    <t>Place Stationnement Voiture</t>
  </si>
  <si>
    <t>laverie batterie cuisine</t>
  </si>
  <si>
    <t>Place voiture</t>
  </si>
  <si>
    <t>local archive</t>
  </si>
  <si>
    <t>Places Stationnement Velos</t>
  </si>
  <si>
    <t>local disponible creche</t>
  </si>
  <si>
    <r>
      <t xml:space="preserve">Rangement </t>
    </r>
    <r>
      <rPr>
        <i/>
        <sz val="11"/>
        <color theme="1"/>
        <rFont val="Aptos Narrow"/>
        <family val="2"/>
        <scheme val="minor"/>
      </rPr>
      <t>(pièce du logement)</t>
    </r>
  </si>
  <si>
    <t>local ensachage</t>
  </si>
  <si>
    <t>Reduit</t>
  </si>
  <si>
    <t>local etiquetage</t>
  </si>
  <si>
    <t>Salle De Bain</t>
  </si>
  <si>
    <t>local menage</t>
  </si>
  <si>
    <t xml:space="preserve">Salle De Douche </t>
  </si>
  <si>
    <t>local menage creche</t>
  </si>
  <si>
    <t>Sas</t>
  </si>
  <si>
    <t>local poussette creche</t>
  </si>
  <si>
    <t>Sejour</t>
  </si>
  <si>
    <t>local rangement</t>
  </si>
  <si>
    <t xml:space="preserve">Sejour-cuisine </t>
  </si>
  <si>
    <t>local repassage</t>
  </si>
  <si>
    <t>Superstructure</t>
  </si>
  <si>
    <t>local triage linge</t>
  </si>
  <si>
    <t>local trovalisation</t>
  </si>
  <si>
    <t>Toilettes</t>
  </si>
  <si>
    <t>patisserie</t>
  </si>
  <si>
    <t>rampe circulation creche</t>
  </si>
  <si>
    <t>rangement</t>
  </si>
  <si>
    <t>refectoire</t>
  </si>
  <si>
    <t>salle activite creche</t>
  </si>
  <si>
    <t>salle conference</t>
  </si>
  <si>
    <t>salle de change creche</t>
  </si>
  <si>
    <t>salle de repos creche</t>
  </si>
  <si>
    <t>salle de the</t>
  </si>
  <si>
    <t>salle personnel creche</t>
  </si>
  <si>
    <t>salle reunion</t>
  </si>
  <si>
    <t>vestiaire bebe creche</t>
  </si>
  <si>
    <t>vestiaire enfant grand et trotteur creche</t>
  </si>
  <si>
    <t>vestiaire femme</t>
  </si>
  <si>
    <t>vestiaire homme</t>
  </si>
  <si>
    <t>vestiaire msp</t>
  </si>
  <si>
    <t>wc creche</t>
  </si>
  <si>
    <t>wc enfant grand creche</t>
  </si>
  <si>
    <t>wc enfant trotteurs creche</t>
  </si>
  <si>
    <t>wc pmr creche</t>
  </si>
  <si>
    <t>zone traitement dechet</t>
  </si>
  <si>
    <t>commerce artisant</t>
  </si>
  <si>
    <t>commerce multi service</t>
  </si>
  <si>
    <t>commerce office service</t>
  </si>
  <si>
    <t>commerce showroom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</si>
</sst>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\ &quot;m²&quot;"/>
  </numFmts>
  <fonts count="22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sz val="12"/>
      <name val="Aptos Narrow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trike/>
      <sz val="12"/>
      <color rgb="FF000000"/>
      <name val="Aptos Narrow"/>
      <family val="2"/>
    </font>
    <font>
      <strike/>
      <sz val="12"/>
      <name val="Aptos Narrow"/>
      <family val="2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ptos Narrow"/>
      <family val="2"/>
    </font>
    <font>
      <strike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trike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2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/>
        <bgColor theme="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FBFBF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14" fillId="0" borderId="0" applyFont="0" applyFill="0" applyBorder="0" applyAlignment="0" applyProtection="0"/>
    <xf numFmtId="0" fontId="9" fillId="0" borderId="0"/>
  </cellStyleXfs>
  <cellXfs count="107">
    <xf numFmtId="0" fontId="0" fillId="0" borderId="0" xfId="0"/>
    <xf numFmtId="0" fontId="5" fillId="0" borderId="0" xfId="0" applyFont="1"/>
    <xf numFmtId="0" fontId="0" fillId="0" borderId="1" xfId="0" applyBorder="1"/>
    <xf numFmtId="0" fontId="5" fillId="0" borderId="1" xfId="0" applyFont="1" applyBorder="1"/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8" fillId="0" borderId="1" xfId="0" applyFont="1" applyBorder="1"/>
    <xf numFmtId="0" fontId="9" fillId="0" borderId="0" xfId="0" applyFont="1"/>
    <xf numFmtId="0" fontId="0" fillId="0" borderId="7" xfId="0" applyBorder="1"/>
    <xf numFmtId="0" fontId="9" fillId="0" borderId="1" xfId="0" applyFont="1" applyBorder="1"/>
    <xf numFmtId="0" fontId="0" fillId="0" borderId="2" xfId="0" applyBorder="1"/>
    <xf numFmtId="0" fontId="5" fillId="2" borderId="4" xfId="0" applyFont="1" applyFill="1" applyBorder="1"/>
    <xf numFmtId="0" fontId="5" fillId="2" borderId="5" xfId="0" applyFont="1" applyFill="1" applyBorder="1"/>
    <xf numFmtId="0" fontId="8" fillId="2" borderId="5" xfId="0" applyFont="1" applyFill="1" applyBorder="1"/>
    <xf numFmtId="0" fontId="5" fillId="2" borderId="6" xfId="0" applyFont="1" applyFill="1" applyBorder="1"/>
    <xf numFmtId="0" fontId="2" fillId="0" borderId="1" xfId="0" applyFont="1" applyBorder="1"/>
    <xf numFmtId="0" fontId="1" fillId="0" borderId="4" xfId="0" applyFont="1" applyBorder="1"/>
    <xf numFmtId="0" fontId="2" fillId="0" borderId="2" xfId="0" applyFont="1" applyBorder="1"/>
    <xf numFmtId="0" fontId="2" fillId="0" borderId="8" xfId="0" applyFont="1" applyBorder="1"/>
    <xf numFmtId="0" fontId="0" fillId="0" borderId="10" xfId="0" applyBorder="1"/>
    <xf numFmtId="43" fontId="0" fillId="0" borderId="3" xfId="0" applyNumberFormat="1" applyBorder="1"/>
    <xf numFmtId="0" fontId="5" fillId="0" borderId="1" xfId="0" applyFont="1" applyBorder="1" applyAlignment="1">
      <alignment horizontal="center"/>
    </xf>
    <xf numFmtId="0" fontId="5" fillId="0" borderId="11" xfId="0" applyFont="1" applyBorder="1"/>
    <xf numFmtId="0" fontId="1" fillId="0" borderId="6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2" fontId="3" fillId="0" borderId="3" xfId="0" applyNumberFormat="1" applyFont="1" applyBorder="1" applyAlignment="1">
      <alignment horizontal="left"/>
    </xf>
    <xf numFmtId="14" fontId="3" fillId="0" borderId="3" xfId="0" applyNumberFormat="1" applyFont="1" applyBorder="1" applyAlignment="1">
      <alignment horizontal="left"/>
    </xf>
    <xf numFmtId="1" fontId="0" fillId="0" borderId="3" xfId="0" applyNumberFormat="1" applyBorder="1" applyAlignment="1">
      <alignment horizontal="left"/>
    </xf>
    <xf numFmtId="49" fontId="5" fillId="2" borderId="5" xfId="0" applyNumberFormat="1" applyFont="1" applyFill="1" applyBorder="1"/>
    <xf numFmtId="49" fontId="0" fillId="0" borderId="1" xfId="0" applyNumberFormat="1" applyBorder="1"/>
    <xf numFmtId="49" fontId="0" fillId="0" borderId="0" xfId="0" applyNumberFormat="1"/>
    <xf numFmtId="0" fontId="4" fillId="0" borderId="2" xfId="0" applyFont="1" applyBorder="1" applyAlignment="1">
      <alignment horizontal="left" wrapText="1"/>
    </xf>
    <xf numFmtId="0" fontId="0" fillId="0" borderId="3" xfId="0" applyBorder="1"/>
    <xf numFmtId="0" fontId="4" fillId="0" borderId="3" xfId="0" applyFont="1" applyBorder="1" applyAlignment="1">
      <alignment horizontal="left" wrapText="1"/>
    </xf>
    <xf numFmtId="0" fontId="5" fillId="0" borderId="4" xfId="0" applyFont="1" applyBorder="1"/>
    <xf numFmtId="0" fontId="5" fillId="0" borderId="6" xfId="0" applyFont="1" applyBorder="1"/>
    <xf numFmtId="0" fontId="0" fillId="0" borderId="4" xfId="0" applyBorder="1"/>
    <xf numFmtId="0" fontId="1" fillId="4" borderId="1" xfId="0" applyFont="1" applyFill="1" applyBorder="1"/>
    <xf numFmtId="0" fontId="0" fillId="3" borderId="1" xfId="0" applyFill="1" applyBorder="1"/>
    <xf numFmtId="0" fontId="4" fillId="0" borderId="13" xfId="0" applyFont="1" applyBorder="1" applyAlignment="1">
      <alignment horizontal="left" wrapText="1"/>
    </xf>
    <xf numFmtId="0" fontId="8" fillId="5" borderId="5" xfId="0" applyFont="1" applyFill="1" applyBorder="1"/>
    <xf numFmtId="0" fontId="8" fillId="5" borderId="0" xfId="0" applyFont="1" applyFill="1"/>
    <xf numFmtId="0" fontId="11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8" fillId="5" borderId="1" xfId="0" applyFont="1" applyFill="1" applyBorder="1"/>
    <xf numFmtId="0" fontId="8" fillId="2" borderId="1" xfId="0" applyFont="1" applyFill="1" applyBorder="1"/>
    <xf numFmtId="0" fontId="8" fillId="5" borderId="14" xfId="0" applyFont="1" applyFill="1" applyBorder="1"/>
    <xf numFmtId="49" fontId="8" fillId="5" borderId="1" xfId="0" applyNumberFormat="1" applyFont="1" applyFill="1" applyBorder="1"/>
    <xf numFmtId="49" fontId="5" fillId="2" borderId="6" xfId="0" applyNumberFormat="1" applyFont="1" applyFill="1" applyBorder="1"/>
    <xf numFmtId="0" fontId="10" fillId="0" borderId="0" xfId="0" applyFont="1"/>
    <xf numFmtId="1" fontId="3" fillId="0" borderId="3" xfId="0" applyNumberFormat="1" applyFont="1" applyBorder="1" applyAlignment="1">
      <alignment horizontal="left"/>
    </xf>
    <xf numFmtId="43" fontId="0" fillId="0" borderId="0" xfId="0" applyNumberFormat="1"/>
    <xf numFmtId="1" fontId="9" fillId="0" borderId="3" xfId="0" applyNumberFormat="1" applyFont="1" applyBorder="1" applyAlignment="1">
      <alignment horizontal="left"/>
    </xf>
    <xf numFmtId="0" fontId="9" fillId="0" borderId="2" xfId="0" applyFont="1" applyBorder="1"/>
    <xf numFmtId="0" fontId="9" fillId="0" borderId="7" xfId="0" applyFont="1" applyBorder="1"/>
    <xf numFmtId="0" fontId="9" fillId="0" borderId="9" xfId="0" applyFont="1" applyBorder="1" applyAlignment="1">
      <alignment horizontal="left"/>
    </xf>
    <xf numFmtId="2" fontId="0" fillId="0" borderId="0" xfId="0" applyNumberFormat="1"/>
    <xf numFmtId="0" fontId="0" fillId="0" borderId="12" xfId="0" applyBorder="1"/>
    <xf numFmtId="0" fontId="9" fillId="0" borderId="8" xfId="0" applyFont="1" applyBorder="1"/>
    <xf numFmtId="0" fontId="8" fillId="0" borderId="2" xfId="0" applyFont="1" applyBorder="1"/>
    <xf numFmtId="0" fontId="8" fillId="0" borderId="3" xfId="0" applyFont="1" applyBorder="1"/>
    <xf numFmtId="0" fontId="18" fillId="0" borderId="1" xfId="0" applyFont="1" applyBorder="1"/>
    <xf numFmtId="0" fontId="16" fillId="0" borderId="10" xfId="0" applyFont="1" applyBorder="1"/>
    <xf numFmtId="0" fontId="16" fillId="0" borderId="1" xfId="0" applyFont="1" applyBorder="1"/>
    <xf numFmtId="0" fontId="5" fillId="6" borderId="1" xfId="0" applyFont="1" applyFill="1" applyBorder="1"/>
    <xf numFmtId="43" fontId="19" fillId="0" borderId="1" xfId="1" applyFont="1" applyFill="1" applyBorder="1"/>
    <xf numFmtId="0" fontId="8" fillId="0" borderId="1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9" fillId="0" borderId="3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49" fontId="5" fillId="2" borderId="5" xfId="0" applyNumberFormat="1" applyFont="1" applyFill="1" applyBorder="1" applyAlignment="1">
      <alignment horizontal="left"/>
    </xf>
    <xf numFmtId="49" fontId="0" fillId="0" borderId="0" xfId="0" applyNumberFormat="1" applyAlignment="1">
      <alignment horizontal="left"/>
    </xf>
    <xf numFmtId="164" fontId="5" fillId="2" borderId="6" xfId="0" applyNumberFormat="1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2" xfId="0" applyNumberFormat="1" applyBorder="1"/>
    <xf numFmtId="2" fontId="0" fillId="0" borderId="1" xfId="0" applyNumberFormat="1" applyBorder="1"/>
    <xf numFmtId="164" fontId="5" fillId="2" borderId="6" xfId="0" applyNumberFormat="1" applyFont="1" applyFill="1" applyBorder="1"/>
    <xf numFmtId="0" fontId="0" fillId="0" borderId="0" xfId="0" pivotButton="1"/>
    <xf numFmtId="2" fontId="0" fillId="0" borderId="8" xfId="0" applyNumberFormat="1" applyBorder="1"/>
    <xf numFmtId="49" fontId="0" fillId="0" borderId="8" xfId="0" applyNumberFormat="1" applyBorder="1"/>
    <xf numFmtId="43" fontId="19" fillId="0" borderId="8" xfId="0" applyNumberFormat="1" applyFont="1" applyBorder="1"/>
    <xf numFmtId="43" fontId="0" fillId="0" borderId="1" xfId="1" applyFont="1" applyBorder="1"/>
    <xf numFmtId="43" fontId="0" fillId="0" borderId="3" xfId="1" applyFont="1" applyBorder="1"/>
    <xf numFmtId="43" fontId="8" fillId="0" borderId="1" xfId="1" applyFont="1" applyFill="1" applyBorder="1"/>
    <xf numFmtId="43" fontId="9" fillId="0" borderId="1" xfId="1" applyFont="1" applyFill="1" applyBorder="1"/>
    <xf numFmtId="43" fontId="4" fillId="0" borderId="3" xfId="1" applyFont="1" applyBorder="1" applyAlignment="1">
      <alignment horizontal="left" wrapText="1"/>
    </xf>
    <xf numFmtId="43" fontId="9" fillId="0" borderId="3" xfId="1" applyFont="1" applyBorder="1"/>
    <xf numFmtId="0" fontId="8" fillId="0" borderId="8" xfId="0" applyFont="1" applyBorder="1"/>
    <xf numFmtId="0" fontId="8" fillId="0" borderId="9" xfId="0" applyFont="1" applyBorder="1"/>
    <xf numFmtId="43" fontId="8" fillId="0" borderId="9" xfId="1" applyFont="1" applyBorder="1"/>
    <xf numFmtId="43" fontId="9" fillId="0" borderId="9" xfId="1" applyFont="1" applyFill="1" applyBorder="1"/>
    <xf numFmtId="43" fontId="9" fillId="0" borderId="8" xfId="1" applyFont="1" applyFill="1" applyBorder="1"/>
    <xf numFmtId="49" fontId="5" fillId="2" borderId="0" xfId="0" applyNumberFormat="1" applyFont="1" applyFill="1" applyAlignment="1">
      <alignment horizontal="left"/>
    </xf>
    <xf numFmtId="0" fontId="15" fillId="7" borderId="1" xfId="0" applyFont="1" applyFill="1" applyBorder="1" applyAlignment="1">
      <alignment horizontal="left" wrapText="1"/>
    </xf>
    <xf numFmtId="0" fontId="20" fillId="0" borderId="3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0" fontId="13" fillId="0" borderId="2" xfId="0" applyFont="1" applyBorder="1"/>
    <xf numFmtId="164" fontId="21" fillId="0" borderId="3" xfId="0" applyNumberFormat="1" applyFont="1" applyBorder="1" applyAlignment="1">
      <alignment horizontal="center"/>
    </xf>
    <xf numFmtId="0" fontId="0" fillId="8" borderId="0" xfId="0" applyFill="1"/>
    <xf numFmtId="43" fontId="19" fillId="0" borderId="1" xfId="0" applyNumberFormat="1" applyFont="1" applyBorder="1"/>
    <xf numFmtId="0" fontId="5" fillId="0" borderId="1" xfId="0" applyFont="1" applyBorder="1" applyAlignment="1">
      <alignment horizontal="center"/>
    </xf>
  </cellXfs>
  <cellStyles count="3">
    <cellStyle name="Milliers" xfId="1" builtinId="3"/>
    <cellStyle name="Normal" xfId="0" builtinId="0"/>
    <cellStyle name="Normal 2" xfId="2" xr:uid="{F0953536-603B-4592-9599-45E51305107B}"/>
  </cellStyles>
  <dxfs count="9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strike val="0"/>
        <outline val="0"/>
        <shadow val="0"/>
        <u val="none"/>
        <vertAlign val="baseline"/>
        <color auto="1"/>
        <name val="Aptos Narrow"/>
        <family val="2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color auto="1"/>
        <name val="Aptos Narrow"/>
        <family val="2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color auto="1"/>
        <name val="Aptos Narrow"/>
        <family val="2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color auto="1"/>
        <name val="Aptos Narrow"/>
        <family val="2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Aptos Narrow"/>
        <family val="2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>
          <fgColor indexed="64"/>
          <bgColor theme="0" tint="-0.34998626667073579"/>
        </patternFill>
      </fill>
    </dxf>
    <dxf>
      <numFmt numFmtId="35" formatCode="_-* #,##0.00_-;\-* #,##0.00_-;_-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00000"/>
      </font>
      <numFmt numFmtId="164" formatCode="0.00\ &quot;m²&quot;"/>
      <alignment horizontal="center" vertical="bottom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</font>
      <numFmt numFmtId="0" formatCode="General"/>
      <alignment horizontal="left" vertical="bottom" textRotation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  <color auto="1"/>
      </font>
      <numFmt numFmtId="0" formatCode="General"/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Aptos Narrow"/>
        <family val="2"/>
      </font>
      <numFmt numFmtId="164" formatCode="0.00\ &quot;m²&quot;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color theme="1"/>
        <name val="Aptos Narrow"/>
        <family val="2"/>
      </font>
      <numFmt numFmtId="30" formatCode="@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color theme="1"/>
        <name val="Aptos Narrow"/>
        <family val="2"/>
      </font>
      <numFmt numFmtId="30" formatCode="@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ptos Narrow"/>
        <family val="2"/>
      </font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theme="1"/>
        <name val="Aptos Narrow"/>
        <family val="2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249977111117893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996633"/>
      <color rgb="FFFF9999"/>
      <color rgb="FF993366"/>
      <color rgb="FFCC9900"/>
      <color rgb="FF61C3B7"/>
      <color rgb="FFE2E208"/>
      <color rgb="FFFF00FF"/>
      <color rgb="FFFF8B8B"/>
      <color rgb="FFFB79D6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184.113554861113" createdVersion="8" refreshedVersion="8" minRefreshableVersion="3" recordCount="76" xr:uid="{9877320F-29DB-4B02-A217-760FB3F1D133}">
  <cacheSource type="worksheet">
    <worksheetSource name="USPI16"/>
  </cacheSource>
  <cacheFields count="16">
    <cacheField name="ID TGM" numFmtId="0">
      <sharedItems/>
    </cacheField>
    <cacheField name="Object.Name" numFmtId="0">
      <sharedItems/>
    </cacheField>
    <cacheField name="Object.Type" numFmtId="0">
      <sharedItems/>
    </cacheField>
    <cacheField name="Area" numFmtId="0">
      <sharedItems containsString="0" containsBlank="1" containsNumber="1" minValue="0" maxValue="420.5"/>
    </cacheField>
    <cacheField name="BuildingByTgm" numFmtId="0">
      <sharedItems count="4">
        <s v="BAT A"/>
        <s v="BAT B"/>
        <s v="BAT D"/>
        <s v="BAT C"/>
      </sharedItems>
    </cacheField>
    <cacheField name="CarbonBoomer" numFmtId="0">
      <sharedItems containsBlank="1"/>
    </cacheField>
    <cacheField name="Catégorie SIA" numFmtId="0">
      <sharedItems containsBlank="1" count="3">
        <m/>
        <s v="SRV"/>
        <s v="SFN"/>
      </sharedItems>
    </cacheField>
    <cacheField name="ExportBoomer" numFmtId="0">
      <sharedItems containsBlank="1" count="2">
        <s v="SRV"/>
        <m/>
      </sharedItems>
    </cacheField>
    <cacheField name="GrossArea" numFmtId="0">
      <sharedItems containsString="0" containsBlank="1" containsNumber="1" minValue="0" maxValue="420.48"/>
    </cacheField>
    <cacheField name="GrossHeight" numFmtId="0">
      <sharedItems containsString="0" containsBlank="1" containsNumber="1" minValue="2.79" maxValue="3.5"/>
    </cacheField>
    <cacheField name="NetArea" numFmtId="0">
      <sharedItems containsString="0" containsBlank="1" containsNumber="1" minValue="0" maxValue="420.48"/>
    </cacheField>
    <cacheField name="Perimeter" numFmtId="0">
      <sharedItems containsString="0" containsBlank="1" containsNumber="1" minValue="0" maxValue="150.19999999999999"/>
    </cacheField>
    <cacheField name="ReservationsArea" numFmtId="0">
      <sharedItems containsString="0" containsBlank="1" containsNumber="1" minValue="0" maxValue="77.540000000000006"/>
    </cacheField>
    <cacheField name="SiaSurface" numFmtId="0">
      <sharedItems containsBlank="1" count="3">
        <m/>
        <s v="SRV"/>
        <s v="SFN"/>
      </sharedItems>
    </cacheField>
    <cacheField name="StoreyByTgm" numFmtId="0">
      <sharedItems count="5">
        <s v="Sous Sol"/>
        <s v="Rez Inferieur"/>
        <s v="Rez Superieur"/>
        <s v="Attique"/>
        <s v="Toiture"/>
      </sharedItems>
    </cacheField>
    <cacheField name="TgmPack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s v="H64::H2037"/>
    <s v="SRV"/>
    <s v="ExportBoomer"/>
    <n v="0"/>
    <x v="0"/>
    <m/>
    <x v="0"/>
    <x v="0"/>
    <m/>
    <m/>
    <m/>
    <m/>
    <m/>
    <x v="0"/>
    <x v="0"/>
    <s v="BAT A_Sous Sol"/>
  </r>
  <r>
    <s v="H64::H2048"/>
    <s v="SRV"/>
    <s v="ExportBoomer"/>
    <n v="0"/>
    <x v="1"/>
    <m/>
    <x v="0"/>
    <x v="0"/>
    <m/>
    <m/>
    <m/>
    <m/>
    <m/>
    <x v="0"/>
    <x v="0"/>
    <s v="BAT B_Sous Sol"/>
  </r>
  <r>
    <s v="H64::H2059"/>
    <s v="SRV"/>
    <s v="ExportBoomer"/>
    <n v="0"/>
    <x v="2"/>
    <m/>
    <x v="0"/>
    <x v="0"/>
    <m/>
    <m/>
    <m/>
    <m/>
    <m/>
    <x v="0"/>
    <x v="0"/>
    <s v="BAT D_Sous Sol"/>
  </r>
  <r>
    <s v="H64::H2070"/>
    <s v="SRV"/>
    <s v="ExportBoomer"/>
    <n v="71.900000000000006"/>
    <x v="2"/>
    <m/>
    <x v="0"/>
    <x v="0"/>
    <m/>
    <m/>
    <m/>
    <m/>
    <m/>
    <x v="0"/>
    <x v="1"/>
    <s v="BAT D_Rez Inferieur"/>
  </r>
  <r>
    <s v="H64::H2081"/>
    <s v="SRV"/>
    <s v="ExportBoomer"/>
    <n v="47.1"/>
    <x v="3"/>
    <m/>
    <x v="0"/>
    <x v="0"/>
    <m/>
    <m/>
    <m/>
    <m/>
    <m/>
    <x v="0"/>
    <x v="1"/>
    <s v="BAT C_Rez Inferieur"/>
  </r>
  <r>
    <s v="H64::H2092"/>
    <s v="SRV"/>
    <s v="ExportBoomer"/>
    <n v="57.5"/>
    <x v="1"/>
    <m/>
    <x v="0"/>
    <x v="0"/>
    <m/>
    <m/>
    <m/>
    <m/>
    <m/>
    <x v="0"/>
    <x v="1"/>
    <s v="BAT B_Rez Inferieur"/>
  </r>
  <r>
    <s v="H64::H2103"/>
    <s v="SRV"/>
    <s v="ExportBoomer"/>
    <n v="58.8"/>
    <x v="0"/>
    <m/>
    <x v="0"/>
    <x v="0"/>
    <m/>
    <m/>
    <m/>
    <m/>
    <m/>
    <x v="0"/>
    <x v="1"/>
    <s v="BAT A_Rez Inferieur"/>
  </r>
  <r>
    <s v="H64::H2114"/>
    <s v="SRV"/>
    <s v="ExportBoomer"/>
    <n v="61.4"/>
    <x v="0"/>
    <m/>
    <x v="0"/>
    <x v="0"/>
    <m/>
    <m/>
    <m/>
    <m/>
    <m/>
    <x v="0"/>
    <x v="2"/>
    <s v="BAT A_Rez Superieur"/>
  </r>
  <r>
    <s v="H64::H2125"/>
    <s v="SRV"/>
    <s v="ExportBoomer"/>
    <n v="61.4"/>
    <x v="1"/>
    <m/>
    <x v="0"/>
    <x v="0"/>
    <m/>
    <m/>
    <m/>
    <m/>
    <m/>
    <x v="0"/>
    <x v="2"/>
    <s v="BAT B_Rez Superieur"/>
  </r>
  <r>
    <s v="H64::H2136"/>
    <s v="SRV"/>
    <s v="ExportBoomer"/>
    <n v="61.7"/>
    <x v="3"/>
    <m/>
    <x v="0"/>
    <x v="0"/>
    <m/>
    <m/>
    <m/>
    <m/>
    <m/>
    <x v="0"/>
    <x v="2"/>
    <s v="BAT C_Rez Superieur"/>
  </r>
  <r>
    <s v="H64::H2147"/>
    <s v="SRV"/>
    <s v="ExportBoomer"/>
    <n v="69.3"/>
    <x v="2"/>
    <m/>
    <x v="0"/>
    <x v="0"/>
    <m/>
    <m/>
    <m/>
    <m/>
    <m/>
    <x v="0"/>
    <x v="2"/>
    <s v="BAT D_Rez Superieur"/>
  </r>
  <r>
    <s v="H64::H2158"/>
    <s v="SRV"/>
    <s v="ExportBoomer"/>
    <n v="58.3"/>
    <x v="2"/>
    <m/>
    <x v="0"/>
    <x v="0"/>
    <m/>
    <m/>
    <m/>
    <m/>
    <m/>
    <x v="0"/>
    <x v="3"/>
    <s v="BAT D_Attique"/>
  </r>
  <r>
    <s v="H64::H2169"/>
    <s v="SRV"/>
    <s v="ExportBoomer"/>
    <n v="45.5"/>
    <x v="3"/>
    <m/>
    <x v="0"/>
    <x v="0"/>
    <m/>
    <m/>
    <m/>
    <m/>
    <m/>
    <x v="0"/>
    <x v="3"/>
    <s v="BAT C_Attique"/>
  </r>
  <r>
    <s v="H64::H2180"/>
    <s v="SRV"/>
    <s v="ExportBoomer"/>
    <n v="49.7"/>
    <x v="1"/>
    <m/>
    <x v="0"/>
    <x v="0"/>
    <m/>
    <m/>
    <m/>
    <m/>
    <m/>
    <x v="0"/>
    <x v="3"/>
    <s v="BAT B_Attique"/>
  </r>
  <r>
    <s v="H64::H2191"/>
    <s v="SRV"/>
    <s v="ExportBoomer"/>
    <n v="49.7"/>
    <x v="0"/>
    <m/>
    <x v="0"/>
    <x v="0"/>
    <m/>
    <m/>
    <m/>
    <m/>
    <m/>
    <x v="0"/>
    <x v="3"/>
    <s v="BAT A_Attique"/>
  </r>
  <r>
    <s v="H64::H2202"/>
    <s v="SRV"/>
    <s v="ExportBoomer"/>
    <n v="0"/>
    <x v="0"/>
    <m/>
    <x v="0"/>
    <x v="0"/>
    <m/>
    <m/>
    <m/>
    <m/>
    <m/>
    <x v="0"/>
    <x v="4"/>
    <s v="BAT A_Toiture"/>
  </r>
  <r>
    <s v="H64::H2213"/>
    <s v="SRV"/>
    <s v="ExportBoomer"/>
    <n v="0"/>
    <x v="1"/>
    <m/>
    <x v="0"/>
    <x v="0"/>
    <m/>
    <m/>
    <m/>
    <m/>
    <m/>
    <x v="0"/>
    <x v="4"/>
    <s v="BAT B_Toiture"/>
  </r>
  <r>
    <s v="H64::H2224"/>
    <s v="SRV"/>
    <s v="ExportBoomer"/>
    <n v="0"/>
    <x v="3"/>
    <m/>
    <x v="0"/>
    <x v="0"/>
    <m/>
    <m/>
    <m/>
    <m/>
    <m/>
    <x v="0"/>
    <x v="4"/>
    <s v="BAT C_Toiture"/>
  </r>
  <r>
    <s v="H64::H2235"/>
    <s v="SRV"/>
    <s v="ExportBoomer"/>
    <n v="0"/>
    <x v="2"/>
    <m/>
    <x v="0"/>
    <x v="0"/>
    <m/>
    <m/>
    <m/>
    <m/>
    <m/>
    <x v="0"/>
    <x v="4"/>
    <s v="BAT D_Toiture"/>
  </r>
  <r>
    <s v="H64::H2656"/>
    <s v="SRV"/>
    <s v="SiaSurface"/>
    <n v="2.2999999999999998"/>
    <x v="0"/>
    <m/>
    <x v="1"/>
    <x v="1"/>
    <m/>
    <m/>
    <m/>
    <m/>
    <m/>
    <x v="1"/>
    <x v="0"/>
    <s v="BAT A_Sous Sol"/>
  </r>
  <r>
    <s v="H64::H2665"/>
    <s v="SRV"/>
    <s v="SiaSurface"/>
    <n v="58.8"/>
    <x v="0"/>
    <m/>
    <x v="1"/>
    <x v="1"/>
    <m/>
    <m/>
    <m/>
    <m/>
    <m/>
    <x v="1"/>
    <x v="1"/>
    <s v="BAT A_Rez Inferieur"/>
  </r>
  <r>
    <s v="H64::H2674"/>
    <s v="SRV"/>
    <s v="SiaSurface"/>
    <n v="70.3"/>
    <x v="0"/>
    <m/>
    <x v="1"/>
    <x v="1"/>
    <m/>
    <m/>
    <m/>
    <m/>
    <m/>
    <x v="1"/>
    <x v="2"/>
    <s v="BAT A_Rez Superieur"/>
  </r>
  <r>
    <s v="H64::H2683"/>
    <s v="SRV"/>
    <s v="SiaSurface"/>
    <n v="56"/>
    <x v="0"/>
    <m/>
    <x v="1"/>
    <x v="1"/>
    <m/>
    <m/>
    <m/>
    <m/>
    <m/>
    <x v="1"/>
    <x v="3"/>
    <s v="BAT A_Attique"/>
  </r>
  <r>
    <s v="H64::H2692"/>
    <s v="SRV"/>
    <s v="SiaSurface"/>
    <n v="0"/>
    <x v="0"/>
    <m/>
    <x v="1"/>
    <x v="1"/>
    <m/>
    <m/>
    <m/>
    <m/>
    <m/>
    <x v="1"/>
    <x v="4"/>
    <s v="BAT A_Toiture"/>
  </r>
  <r>
    <s v="H64::H2701"/>
    <s v="SRV"/>
    <s v="SiaSurface"/>
    <n v="0"/>
    <x v="1"/>
    <m/>
    <x v="1"/>
    <x v="1"/>
    <m/>
    <m/>
    <m/>
    <m/>
    <m/>
    <x v="1"/>
    <x v="0"/>
    <s v="BAT B_Sous Sol"/>
  </r>
  <r>
    <s v="H64::H2710"/>
    <s v="SRV"/>
    <s v="SiaSurface"/>
    <n v="57.5"/>
    <x v="1"/>
    <m/>
    <x v="1"/>
    <x v="1"/>
    <m/>
    <m/>
    <m/>
    <m/>
    <m/>
    <x v="1"/>
    <x v="1"/>
    <s v="BAT B_Rez Inferieur"/>
  </r>
  <r>
    <s v="H64::H2719"/>
    <s v="SRV"/>
    <s v="SiaSurface"/>
    <n v="70.099999999999994"/>
    <x v="1"/>
    <m/>
    <x v="1"/>
    <x v="1"/>
    <m/>
    <m/>
    <m/>
    <m/>
    <m/>
    <x v="1"/>
    <x v="2"/>
    <s v="BAT B_Rez Superieur"/>
  </r>
  <r>
    <s v="H64::H2728"/>
    <s v="SRV"/>
    <s v="SiaSurface"/>
    <n v="56"/>
    <x v="1"/>
    <m/>
    <x v="1"/>
    <x v="1"/>
    <m/>
    <m/>
    <m/>
    <m/>
    <m/>
    <x v="1"/>
    <x v="3"/>
    <s v="BAT B_Attique"/>
  </r>
  <r>
    <s v="H64::H2737"/>
    <s v="SRV"/>
    <s v="SiaSurface"/>
    <n v="0"/>
    <x v="1"/>
    <m/>
    <x v="1"/>
    <x v="1"/>
    <m/>
    <m/>
    <m/>
    <m/>
    <m/>
    <x v="1"/>
    <x v="4"/>
    <s v="BAT B_Toiture"/>
  </r>
  <r>
    <s v="H64::H2746"/>
    <s v="SRV"/>
    <s v="SiaSurface"/>
    <n v="47.1"/>
    <x v="3"/>
    <m/>
    <x v="1"/>
    <x v="1"/>
    <m/>
    <m/>
    <m/>
    <m/>
    <m/>
    <x v="1"/>
    <x v="1"/>
    <s v="BAT C_Rez Inferieur"/>
  </r>
  <r>
    <s v="H64::H2755"/>
    <s v="SRV"/>
    <s v="SiaSurface"/>
    <n v="68.599999999999994"/>
    <x v="3"/>
    <m/>
    <x v="1"/>
    <x v="1"/>
    <m/>
    <m/>
    <m/>
    <m/>
    <m/>
    <x v="1"/>
    <x v="2"/>
    <s v="BAT C_Rez Superieur"/>
  </r>
  <r>
    <s v="H64::H2764"/>
    <s v="SRV"/>
    <s v="SiaSurface"/>
    <n v="49.7"/>
    <x v="3"/>
    <m/>
    <x v="1"/>
    <x v="1"/>
    <m/>
    <m/>
    <m/>
    <m/>
    <m/>
    <x v="1"/>
    <x v="3"/>
    <s v="BAT C_Attique"/>
  </r>
  <r>
    <s v="H64::H2773"/>
    <s v="SRV"/>
    <s v="SiaSurface"/>
    <n v="0"/>
    <x v="3"/>
    <m/>
    <x v="1"/>
    <x v="1"/>
    <m/>
    <m/>
    <m/>
    <m/>
    <m/>
    <x v="1"/>
    <x v="4"/>
    <s v="BAT C_Toiture"/>
  </r>
  <r>
    <s v="H64::H2782"/>
    <s v="SRV"/>
    <s v="SiaSurface"/>
    <n v="0"/>
    <x v="2"/>
    <m/>
    <x v="1"/>
    <x v="1"/>
    <m/>
    <m/>
    <m/>
    <m/>
    <m/>
    <x v="1"/>
    <x v="0"/>
    <s v="BAT D_Sous Sol"/>
  </r>
  <r>
    <s v="H64::H2791"/>
    <s v="SRV"/>
    <s v="SiaSurface"/>
    <n v="71.900000000000006"/>
    <x v="2"/>
    <m/>
    <x v="1"/>
    <x v="1"/>
    <m/>
    <m/>
    <m/>
    <m/>
    <m/>
    <x v="1"/>
    <x v="1"/>
    <s v="BAT D_Rez Inferieur"/>
  </r>
  <r>
    <s v="H64::H2800"/>
    <s v="SRV"/>
    <s v="SiaSurface"/>
    <n v="77.7"/>
    <x v="2"/>
    <m/>
    <x v="1"/>
    <x v="1"/>
    <m/>
    <m/>
    <m/>
    <m/>
    <m/>
    <x v="1"/>
    <x v="2"/>
    <s v="BAT D_Rez Superieur"/>
  </r>
  <r>
    <s v="H64::H2809"/>
    <s v="SRV"/>
    <s v="SiaSurface"/>
    <n v="68.8"/>
    <x v="2"/>
    <m/>
    <x v="1"/>
    <x v="1"/>
    <m/>
    <m/>
    <m/>
    <m/>
    <m/>
    <x v="1"/>
    <x v="3"/>
    <s v="BAT D_Attique"/>
  </r>
  <r>
    <s v="H64::H2818"/>
    <s v="SRV"/>
    <s v="SiaSurface"/>
    <n v="0"/>
    <x v="2"/>
    <m/>
    <x v="1"/>
    <x v="1"/>
    <m/>
    <m/>
    <m/>
    <m/>
    <m/>
    <x v="1"/>
    <x v="4"/>
    <s v="BAT D_Toiture"/>
  </r>
  <r>
    <s v="H64::H2250"/>
    <s v="SFN"/>
    <s v="CarbonBoomer"/>
    <n v="315.8"/>
    <x v="0"/>
    <s v="SFN"/>
    <x v="0"/>
    <x v="1"/>
    <m/>
    <m/>
    <m/>
    <m/>
    <m/>
    <x v="0"/>
    <x v="0"/>
    <s v="BAT A_Sous Sol"/>
  </r>
  <r>
    <s v="H64::H2261"/>
    <s v="SFN"/>
    <s v="CarbonBoomer"/>
    <n v="186.6"/>
    <x v="0"/>
    <s v="SFN"/>
    <x v="0"/>
    <x v="1"/>
    <m/>
    <m/>
    <m/>
    <m/>
    <m/>
    <x v="0"/>
    <x v="1"/>
    <s v="BAT A_Rez Inferieur"/>
  </r>
  <r>
    <s v="H64::H2272"/>
    <s v="SFN"/>
    <s v="CarbonBoomer"/>
    <n v="202.7"/>
    <x v="0"/>
    <s v="SFN"/>
    <x v="0"/>
    <x v="1"/>
    <m/>
    <m/>
    <m/>
    <m/>
    <m/>
    <x v="0"/>
    <x v="2"/>
    <s v="BAT A_Rez Superieur"/>
  </r>
  <r>
    <s v="H64::H2283"/>
    <s v="SFN"/>
    <s v="CarbonBoomer"/>
    <n v="207.1"/>
    <x v="0"/>
    <s v="SFN"/>
    <x v="0"/>
    <x v="1"/>
    <m/>
    <m/>
    <m/>
    <m/>
    <m/>
    <x v="0"/>
    <x v="3"/>
    <s v="BAT A_Attique"/>
  </r>
  <r>
    <s v="H64::H2294"/>
    <s v="SFN"/>
    <s v="CarbonBoomer"/>
    <n v="0"/>
    <x v="0"/>
    <s v="SFN"/>
    <x v="0"/>
    <x v="1"/>
    <m/>
    <m/>
    <m/>
    <m/>
    <m/>
    <x v="0"/>
    <x v="4"/>
    <s v="BAT A_Toiture"/>
  </r>
  <r>
    <s v="H64::H2305"/>
    <s v="SFN"/>
    <s v="CarbonBoomer"/>
    <n v="352"/>
    <x v="1"/>
    <s v="SFN"/>
    <x v="0"/>
    <x v="1"/>
    <m/>
    <m/>
    <m/>
    <m/>
    <m/>
    <x v="0"/>
    <x v="0"/>
    <s v="BAT B_Sous Sol"/>
  </r>
  <r>
    <s v="H64::H2316"/>
    <s v="SFN"/>
    <s v="CarbonBoomer"/>
    <n v="186.9"/>
    <x v="1"/>
    <s v="SFN"/>
    <x v="0"/>
    <x v="1"/>
    <m/>
    <m/>
    <m/>
    <m/>
    <m/>
    <x v="0"/>
    <x v="1"/>
    <s v="BAT B_Rez Inferieur"/>
  </r>
  <r>
    <s v="H64::H2327"/>
    <s v="SFN"/>
    <s v="CarbonBoomer"/>
    <n v="202.5"/>
    <x v="1"/>
    <s v="SFN"/>
    <x v="0"/>
    <x v="1"/>
    <m/>
    <m/>
    <m/>
    <m/>
    <m/>
    <x v="0"/>
    <x v="2"/>
    <s v="BAT B_Rez Superieur"/>
  </r>
  <r>
    <s v="H64::H2338"/>
    <s v="SFN"/>
    <s v="CarbonBoomer"/>
    <n v="206.7"/>
    <x v="1"/>
    <s v="SFN"/>
    <x v="0"/>
    <x v="1"/>
    <m/>
    <m/>
    <m/>
    <m/>
    <m/>
    <x v="0"/>
    <x v="3"/>
    <s v="BAT B_Attique"/>
  </r>
  <r>
    <s v="H64::H2349"/>
    <s v="SFN"/>
    <s v="CarbonBoomer"/>
    <n v="0"/>
    <x v="1"/>
    <s v="SFN"/>
    <x v="0"/>
    <x v="1"/>
    <m/>
    <m/>
    <m/>
    <m/>
    <m/>
    <x v="0"/>
    <x v="4"/>
    <s v="BAT B_Toiture"/>
  </r>
  <r>
    <s v="H64::H2360"/>
    <s v="SFN"/>
    <s v="CarbonBoomer"/>
    <n v="238.6"/>
    <x v="3"/>
    <s v="SFN"/>
    <x v="0"/>
    <x v="1"/>
    <m/>
    <m/>
    <m/>
    <m/>
    <m/>
    <x v="0"/>
    <x v="1"/>
    <s v="BAT C_Rez Inferieur"/>
  </r>
  <r>
    <s v="H64::H2371"/>
    <s v="SFN"/>
    <s v="CarbonBoomer"/>
    <n v="217.2"/>
    <x v="3"/>
    <s v="SFN"/>
    <x v="0"/>
    <x v="1"/>
    <m/>
    <m/>
    <m/>
    <m/>
    <m/>
    <x v="0"/>
    <x v="2"/>
    <s v="BAT C_Rez Superieur"/>
  </r>
  <r>
    <s v="H64::H2382"/>
    <s v="SFN"/>
    <s v="CarbonBoomer"/>
    <n v="225.5"/>
    <x v="3"/>
    <s v="SFN"/>
    <x v="0"/>
    <x v="1"/>
    <m/>
    <m/>
    <m/>
    <m/>
    <m/>
    <x v="0"/>
    <x v="3"/>
    <s v="BAT C_Attique"/>
  </r>
  <r>
    <s v="H64::H2393"/>
    <s v="SFN"/>
    <s v="CarbonBoomer"/>
    <n v="0"/>
    <x v="3"/>
    <s v="SFN"/>
    <x v="0"/>
    <x v="1"/>
    <m/>
    <m/>
    <m/>
    <m/>
    <m/>
    <x v="0"/>
    <x v="4"/>
    <s v="BAT C_Toiture"/>
  </r>
  <r>
    <s v="H64::H2404"/>
    <s v="SFN"/>
    <s v="CarbonBoomer"/>
    <n v="420.5"/>
    <x v="2"/>
    <s v="SFN"/>
    <x v="0"/>
    <x v="1"/>
    <m/>
    <m/>
    <m/>
    <m/>
    <m/>
    <x v="0"/>
    <x v="0"/>
    <s v="BAT D_Sous Sol"/>
  </r>
  <r>
    <s v="H64::H2415"/>
    <s v="SFN"/>
    <s v="CarbonBoomer"/>
    <n v="251.1"/>
    <x v="2"/>
    <s v="SFN"/>
    <x v="0"/>
    <x v="1"/>
    <m/>
    <m/>
    <m/>
    <m/>
    <m/>
    <x v="0"/>
    <x v="1"/>
    <s v="BAT D_Rez Inferieur"/>
  </r>
  <r>
    <s v="H64::H2426"/>
    <s v="SFN"/>
    <s v="CarbonBoomer"/>
    <n v="224.6"/>
    <x v="2"/>
    <s v="SFN"/>
    <x v="0"/>
    <x v="1"/>
    <m/>
    <m/>
    <m/>
    <m/>
    <m/>
    <x v="0"/>
    <x v="2"/>
    <s v="BAT D_Rez Superieur"/>
  </r>
  <r>
    <s v="H64::H2437"/>
    <s v="SFN"/>
    <s v="CarbonBoomer"/>
    <n v="228.2"/>
    <x v="2"/>
    <s v="SFN"/>
    <x v="0"/>
    <x v="1"/>
    <m/>
    <m/>
    <m/>
    <m/>
    <m/>
    <x v="0"/>
    <x v="3"/>
    <s v="BAT D_Attique"/>
  </r>
  <r>
    <s v="H64::H2448"/>
    <s v="SFN"/>
    <s v="CarbonBoomer"/>
    <n v="0"/>
    <x v="2"/>
    <s v="SFN"/>
    <x v="0"/>
    <x v="1"/>
    <m/>
    <m/>
    <m/>
    <m/>
    <m/>
    <x v="0"/>
    <x v="4"/>
    <s v="BAT D_Toiture"/>
  </r>
  <r>
    <s v="H64::H2826"/>
    <s v="SFN"/>
    <s v="SiaSurface"/>
    <m/>
    <x v="0"/>
    <m/>
    <x v="2"/>
    <x v="1"/>
    <n v="318.08999999999997"/>
    <n v="2.79"/>
    <n v="315.77999999999997"/>
    <n v="114"/>
    <n v="2.31"/>
    <x v="2"/>
    <x v="0"/>
    <s v="BAT A_Sous Sol"/>
  </r>
  <r>
    <s v="H64::H2827"/>
    <s v="SFN"/>
    <s v="SiaSurface"/>
    <m/>
    <x v="1"/>
    <m/>
    <x v="2"/>
    <x v="1"/>
    <n v="0"/>
    <n v="3"/>
    <n v="0"/>
    <n v="0"/>
    <n v="0"/>
    <x v="2"/>
    <x v="4"/>
    <s v="BAT B_Toiture"/>
  </r>
  <r>
    <s v="H64::H2828"/>
    <s v="SFN"/>
    <s v="SiaSurface"/>
    <m/>
    <x v="3"/>
    <m/>
    <x v="2"/>
    <x v="1"/>
    <n v="285.74"/>
    <n v="2.86"/>
    <n v="238.64"/>
    <n v="99.9"/>
    <n v="47.1"/>
    <x v="2"/>
    <x v="1"/>
    <s v="BAT C_Rez Inferieur"/>
  </r>
  <r>
    <s v="H64::H2829"/>
    <s v="SFN"/>
    <s v="SiaSurface"/>
    <m/>
    <x v="3"/>
    <m/>
    <x v="2"/>
    <x v="1"/>
    <n v="285.72000000000003"/>
    <n v="2.86"/>
    <n v="217.19"/>
    <n v="99.9"/>
    <n v="68.53"/>
    <x v="2"/>
    <x v="2"/>
    <s v="BAT C_Rez Superieur"/>
  </r>
  <r>
    <s v="H64::H2830"/>
    <s v="SFN"/>
    <s v="SiaSurface"/>
    <m/>
    <x v="3"/>
    <m/>
    <x v="2"/>
    <x v="1"/>
    <n v="274.70999999999998"/>
    <n v="3.04"/>
    <n v="225.46"/>
    <n v="90.4"/>
    <n v="49.25"/>
    <x v="2"/>
    <x v="3"/>
    <s v="BAT C_Attique"/>
  </r>
  <r>
    <s v="H64::H2831"/>
    <s v="SFN"/>
    <s v="SiaSurface"/>
    <m/>
    <x v="3"/>
    <m/>
    <x v="2"/>
    <x v="1"/>
    <n v="0"/>
    <n v="3"/>
    <n v="0"/>
    <n v="0"/>
    <n v="0"/>
    <x v="2"/>
    <x v="4"/>
    <s v="BAT C_Toiture"/>
  </r>
  <r>
    <s v="H64::H2832"/>
    <s v="SFN"/>
    <s v="SiaSurface"/>
    <m/>
    <x v="2"/>
    <m/>
    <x v="2"/>
    <x v="1"/>
    <n v="420.48"/>
    <n v="2.8"/>
    <n v="420.48"/>
    <n v="150.19999999999999"/>
    <n v="0"/>
    <x v="2"/>
    <x v="0"/>
    <s v="BAT D_Sous Sol"/>
  </r>
  <r>
    <s v="H64::H2833"/>
    <s v="SFN"/>
    <s v="SiaSurface"/>
    <m/>
    <x v="2"/>
    <m/>
    <x v="2"/>
    <x v="1"/>
    <n v="322.47000000000003"/>
    <n v="2.91"/>
    <n v="251.13"/>
    <n v="110.8"/>
    <n v="71.34"/>
    <x v="2"/>
    <x v="1"/>
    <s v="BAT D_Rez Inferieur"/>
  </r>
  <r>
    <s v="H64::H2834"/>
    <s v="SFN"/>
    <s v="SiaSurface"/>
    <m/>
    <x v="2"/>
    <m/>
    <x v="2"/>
    <x v="1"/>
    <n v="302.19"/>
    <n v="2.91"/>
    <n v="224.65"/>
    <n v="103.8"/>
    <n v="77.540000000000006"/>
    <x v="2"/>
    <x v="2"/>
    <s v="BAT D_Rez Superieur"/>
  </r>
  <r>
    <s v="H64::H2835"/>
    <s v="SFN"/>
    <s v="SiaSurface"/>
    <m/>
    <x v="2"/>
    <m/>
    <x v="2"/>
    <x v="1"/>
    <n v="295.22000000000003"/>
    <n v="3.09"/>
    <n v="228.17"/>
    <n v="95.5"/>
    <n v="67.05"/>
    <x v="2"/>
    <x v="3"/>
    <s v="BAT D_Attique"/>
  </r>
  <r>
    <s v="H64::H2836"/>
    <s v="SFN"/>
    <s v="SiaSurface"/>
    <m/>
    <x v="2"/>
    <m/>
    <x v="2"/>
    <x v="1"/>
    <n v="0"/>
    <n v="3"/>
    <n v="0"/>
    <n v="0"/>
    <n v="0"/>
    <x v="2"/>
    <x v="4"/>
    <s v="BAT D_Toiture"/>
  </r>
  <r>
    <s v="H64::H2837"/>
    <s v="SFN"/>
    <s v="SiaSurface"/>
    <m/>
    <x v="0"/>
    <m/>
    <x v="2"/>
    <x v="1"/>
    <n v="245.09"/>
    <n v="2.86"/>
    <n v="186.56"/>
    <n v="85.7"/>
    <n v="58.53"/>
    <x v="2"/>
    <x v="1"/>
    <s v="BAT A_Rez Inferieur"/>
  </r>
  <r>
    <s v="H64::H2838"/>
    <s v="SFN"/>
    <s v="SiaSurface"/>
    <m/>
    <x v="0"/>
    <m/>
    <x v="2"/>
    <x v="1"/>
    <n v="272.39999999999998"/>
    <n v="2.86"/>
    <n v="202.73"/>
    <n v="95.2"/>
    <n v="69.67"/>
    <x v="2"/>
    <x v="2"/>
    <s v="BAT A_Rez Superieur"/>
  </r>
  <r>
    <s v="H64::H2839"/>
    <s v="SFN"/>
    <s v="SiaSurface"/>
    <m/>
    <x v="0"/>
    <m/>
    <x v="2"/>
    <x v="1"/>
    <n v="263.07"/>
    <n v="3.04"/>
    <n v="207.13"/>
    <n v="86.5"/>
    <n v="55.94"/>
    <x v="2"/>
    <x v="3"/>
    <s v="BAT A_Attique"/>
  </r>
  <r>
    <s v="H64::H2840"/>
    <s v="SFN"/>
    <s v="SiaSurface"/>
    <m/>
    <x v="0"/>
    <m/>
    <x v="2"/>
    <x v="1"/>
    <n v="0"/>
    <n v="3"/>
    <n v="0"/>
    <n v="0"/>
    <n v="0"/>
    <x v="2"/>
    <x v="4"/>
    <s v="BAT A_Toiture"/>
  </r>
  <r>
    <s v="H64::H2841"/>
    <s v="SFN"/>
    <s v="SiaSurface"/>
    <m/>
    <x v="1"/>
    <m/>
    <x v="2"/>
    <x v="1"/>
    <n v="352.02"/>
    <n v="3.5"/>
    <n v="352.02"/>
    <n v="100.6"/>
    <n v="0"/>
    <x v="2"/>
    <x v="0"/>
    <s v="BAT B_Sous Sol"/>
  </r>
  <r>
    <s v="H64::H2842"/>
    <s v="SFN"/>
    <s v="SiaSurface"/>
    <m/>
    <x v="1"/>
    <m/>
    <x v="2"/>
    <x v="1"/>
    <n v="244.11"/>
    <n v="2.86"/>
    <n v="186.92"/>
    <n v="85.4"/>
    <n v="57.19"/>
    <x v="2"/>
    <x v="1"/>
    <s v="BAT B_Rez Inferieur"/>
  </r>
  <r>
    <s v="H64::H2843"/>
    <s v="SFN"/>
    <s v="SiaSurface"/>
    <m/>
    <x v="1"/>
    <m/>
    <x v="2"/>
    <x v="1"/>
    <n v="272.49"/>
    <n v="2.86"/>
    <n v="202.46"/>
    <n v="95.3"/>
    <n v="70.03"/>
    <x v="2"/>
    <x v="2"/>
    <s v="BAT B_Rez Superieur"/>
  </r>
  <r>
    <s v="H64::H2844"/>
    <s v="SFN"/>
    <s v="SiaSurface"/>
    <m/>
    <x v="1"/>
    <m/>
    <x v="2"/>
    <x v="1"/>
    <n v="262.36"/>
    <n v="3.04"/>
    <n v="206.67"/>
    <n v="86.3"/>
    <n v="55.69"/>
    <x v="2"/>
    <x v="3"/>
    <s v="BAT B_Attiqu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4C5C2B-62E1-4065-BB02-0D4837F54073}" name="Tableau croisé dynamique12" cacheId="8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K3:P23" firstHeaderRow="0" firstDataRow="1" firstDataCol="2" rowPageCount="1" colPageCount="1"/>
  <pivotFields count="16">
    <pivotField showAll="0"/>
    <pivotField showAll="0"/>
    <pivotField showAll="0"/>
    <pivotField showAll="0"/>
    <pivotField axis="axisRow" outline="0" showAll="0" defaultSubtotal="0">
      <items count="4">
        <item x="0"/>
        <item x="1"/>
        <item x="3"/>
        <item x="2"/>
      </items>
    </pivotField>
    <pivotField showAll="0"/>
    <pivotField axis="axisPage" multipleItemSelectionAllowed="1" showAll="0">
      <items count="4">
        <item x="2"/>
        <item h="1" x="1"/>
        <item h="1" x="0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axis="axisRow" outline="0" showAll="0" defaultSubtotal="0">
      <items count="5">
        <item x="3"/>
        <item x="1"/>
        <item x="2"/>
        <item x="0"/>
        <item x="4"/>
      </items>
    </pivotField>
    <pivotField showAll="0"/>
  </pivotFields>
  <rowFields count="2">
    <field x="4"/>
    <field x="14"/>
  </rowFields>
  <rowItems count="20">
    <i>
      <x/>
      <x/>
    </i>
    <i r="1">
      <x v="1"/>
    </i>
    <i r="1">
      <x v="2"/>
    </i>
    <i r="1">
      <x v="3"/>
    </i>
    <i r="1">
      <x v="4"/>
    </i>
    <i>
      <x v="1"/>
      <x/>
    </i>
    <i r="1">
      <x v="1"/>
    </i>
    <i r="1">
      <x v="2"/>
    </i>
    <i r="1">
      <x v="3"/>
    </i>
    <i r="1">
      <x v="4"/>
    </i>
    <i>
      <x v="2"/>
      <x/>
    </i>
    <i r="1">
      <x v="1"/>
    </i>
    <i r="1">
      <x v="2"/>
    </i>
    <i r="1">
      <x v="4"/>
    </i>
    <i>
      <x v="3"/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6" hier="-1"/>
  </pageFields>
  <dataFields count="4">
    <dataField name="Somme de Perimeter" fld="11" baseField="4" baseItem="0"/>
    <dataField name="Moyenne de GrossHeight" fld="9" subtotal="average" baseField="4" baseItem="0"/>
    <dataField name="Somme de NetArea" fld="10" baseField="0" baseItem="0"/>
    <dataField name="Somme de GrossArea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EA58D7B-33A3-4AD7-9609-CA5688BC6DB4}" name="InfosProjet" displayName="InfosProjet" ref="B1:C58" totalsRowShown="0" headerRowDxfId="89" dataDxfId="88" headerRowBorderDxfId="86" tableBorderDxfId="87" totalsRowBorderDxfId="85">
  <autoFilter ref="B1:C58" xr:uid="{2EA58D7B-33A3-4AD7-9609-CA5688BC6DB4}"/>
  <tableColumns count="2">
    <tableColumn id="1" xr3:uid="{4DC0F3E5-F300-47A8-8DE9-2F84DA3E4FFF}" name="Description" dataDxfId="84"/>
    <tableColumn id="2" xr3:uid="{980C9AF0-B76F-406F-BA8C-D99625224B7C}" name="Valeur" dataDxfId="83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AD328C-F0CE-434F-9476-B0AECE21BB37}" name="Tableau3" displayName="Tableau3" ref="A1:I2" totalsRowShown="0">
  <autoFilter ref="A1:I2"/>
  <tableColumns count="9">
    <tableColumn id="1" xr3:uid="{66A50C93-4168-495F-AD6E-BDFDEAEBC47E}" name="ID Projet"/>
    <tableColumn id="2" xr3:uid="{B2C367AA-E41C-4913-95C7-71E9DA0AFC60}" name="Partie d'Ouvrage"/>
    <tableColumn id="3" xr3:uid="{DE85B4FF-45E2-486E-8C6A-BD964EB70CEF}" name="Nbr Cages d'escaliers"/>
    <tableColumn id="4" xr3:uid="{B2D4B380-5334-4361-82DA-C3674D6BCA06}" name="Type de cage d'escalier selon catalogue HRS"/>
    <tableColumn id="5" xr3:uid="{5B7CE421-6947-4ECC-8353-4AF448FB9867}" name="Nbr d'étages hors-sol"/>
    <tableColumn id="6" xr3:uid="{46E39CD2-EA49-42F1-934C-41DEA5308EBC}" name="Nbr d'étages sous-sol"/>
    <tableColumn id="7" xr3:uid="{39362B30-45C7-4BBD-B8DE-DDFF0D4D66E3}" name="Forme du bâtiment"/>
    <tableColumn id="8" xr3:uid="{F760199D-7197-41D8-981A-FA110B1589CB}" name="Largeur du bâtiment (m)"/>
    <tableColumn id="9" xr3:uid="{0D591E71-3F98-4F84-A946-C0A2998B185D}" name="Longueur  du bâtiment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B0EA0C6-70C4-4D19-9B69-1A3A2F32BF6F}" name="SurfacesSIA4168" displayName="SurfacesSIA4168" ref="A1:L2" totalsRowShown="0" headerRowDxfId="82" dataDxfId="81" headerRowBorderDxfId="79" tableBorderDxfId="80" totalsRowBorderDxfId="78">
  <autoFilter ref="A1:L2"/>
  <tableColumns count="12">
    <tableColumn id="1" xr3:uid="{18712517-2836-4AB0-8696-D3C2A81FCAB4}" name="ID Projet" dataDxfId="77">
      <calculatedColumnFormula>InfosProjet!$C$2</calculatedColumnFormula>
    </tableColumn>
    <tableColumn id="3" xr3:uid="{6F48064A-CAA4-424F-9C59-9392009247DB}" name="Categorie SIA416" dataDxfId="76"/>
    <tableColumn id="11" xr3:uid="{03E9A820-4401-43BF-AAF6-4FC401849789}" name="Partie d'Ouvrage" dataDxfId="75"/>
    <tableColumn id="5" xr3:uid="{96ECCD70-D670-4036-8066-2111418DDEE2}" name="Etage" dataDxfId="74"/>
    <tableColumn id="6" xr3:uid="{5799D93F-9A64-4DE8-A66C-00C58B3B523E}" name="Decoupage" dataDxfId="73"/>
    <tableColumn id="16" xr3:uid="{2F43821A-2B69-4247-8614-A440DCA111FA}" name="Largeur globale" dataDxfId="72"/>
    <tableColumn id="17" xr3:uid="{58198CC3-7D8A-4D07-A68D-0C00213F99E6}" name="Longueur globale" dataDxfId="71"/>
    <tableColumn id="4" xr3:uid="{8E17997F-93EE-4D3D-9960-C1726D00DBC0}" name="Perimètre" dataDxfId="70" dataCellStyle="Milliers"/>
    <tableColumn id="8" xr3:uid="{5DE18187-E628-44B5-A1F9-65AC8DCB259E}" name="Hauteur libre (m)" dataDxfId="69"/>
    <tableColumn id="10" xr3:uid="{EA84C511-2F75-48F5-8D91-2F33A72FADB3}" name="Hauteur brute (m)" dataDxfId="68"/>
    <tableColumn id="9" xr3:uid="{DB59E3F4-5B53-429B-91D8-19C8BF680EA0}" name="m2" dataDxfId="67" dataCellStyle="Milliers"/>
    <tableColumn id="14" xr3:uid="{659EE20B-8CB0-48A1-AAC3-1F61C8D1A28D}" name="m3" dataDxfId="66">
      <calculatedColumnFormula>SurfacesSIA4168[[#This Row],[m2]]*SurfacesSIA4168[[#This Row],[Hauteur brute (m)]]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7A6CBA5-0A97-4153-A21B-3B54E055ACAC}" name="SurfacesSIA41610" displayName="SurfacesSIA41610" ref="A1:I2" totalsRowShown="0" headerRowDxfId="65" headerRowBorderDxfId="63" tableBorderDxfId="64" totalsRowBorderDxfId="62">
  <autoFilter ref="A1:I2"/>
  <tableColumns count="9">
    <tableColumn id="1" xr3:uid="{3ECEF302-63E2-474C-9BE7-846891FE2079}" name="ID Projet" dataDxfId="61">
      <calculatedColumnFormula>InfosProjet!$C$2</calculatedColumnFormula>
    </tableColumn>
    <tableColumn id="3" xr3:uid="{ED3A6DA9-B6F5-4718-AD20-C446727EDC79}" name="Categorie SIA416" dataDxfId="60"/>
    <tableColumn id="11" xr3:uid="{76D30A41-84C7-4696-AD3D-FBAD7BAD08DC}" name="Partie d'Ouvrage" dataDxfId="59"/>
    <tableColumn id="4" xr3:uid="{761E5F0B-A39A-4028-80AA-0844F44FA8F5}" name="Affectation" dataDxfId="58"/>
    <tableColumn id="5" xr3:uid="{76249BAD-F564-408E-A74C-4DA62761A93D}" name="Etage" dataDxfId="57"/>
    <tableColumn id="6" xr3:uid="{637A9D44-82C5-4CFE-9835-97CB5E64F57E}" name="Appartement_Unite" dataDxfId="56"/>
    <tableColumn id="7" xr3:uid="{CE596BBE-24F4-4F38-97CD-2549615C525F}" name="Nºlocal" dataDxfId="55"/>
    <tableColumn id="8" xr3:uid="{FA84EC8E-BF7E-413A-B039-F9E779CBE594}" name="Nom du local" dataDxfId="54"/>
    <tableColumn id="9" xr3:uid="{41588403-1B63-46AF-98FF-D729DF54E527}" name="m2" dataDxfId="53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61A90A1-7D53-4C1C-8A50-BE7D462A64CE}" name="SurfacesSIA41611" displayName="SurfacesSIA41611" ref="A1:D2" totalsRowShown="0" headerRowDxfId="52" headerRowBorderDxfId="50" tableBorderDxfId="51" totalsRowBorderDxfId="49">
  <autoFilter ref="A1:D2"/>
  <tableColumns count="4">
    <tableColumn id="1" xr3:uid="{C1F7EE1C-662E-45BB-9A1D-D7114BDE5612}" name="ID Projet" dataDxfId="48">
      <calculatedColumnFormula>InfosProjet!$C$2</calculatedColumnFormula>
    </tableColumn>
    <tableColumn id="3" xr3:uid="{C351A021-4854-4AA2-AE22-3FE9975F26CD}" name="Categorie USPI" dataDxfId="47"/>
    <tableColumn id="6" xr3:uid="{2080A198-B2D5-478B-9706-EC6D7EA80854}" name="Appartement_Unite" dataDxfId="46"/>
    <tableColumn id="9" xr3:uid="{EE293CBB-5E81-40E9-8F0E-27C44EC1EAAB}" name="m2" dataDxfId="45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03EE66-B6B3-49E3-A712-DE843729F578}" name="Logements" displayName="Logements" ref="A1:K2" totalsRowShown="0" headerRowDxfId="44" dataDxfId="43">
  <autoFilter ref="A1:K2"/>
  <tableColumns count="11">
    <tableColumn id="1" xr3:uid="{FB1B5E9F-8415-4D32-B5F1-19D765E5E75E}" name="ID Projet" dataDxfId="42">
      <calculatedColumnFormula>InfosProjet!$C$2</calculatedColumnFormula>
    </tableColumn>
    <tableColumn id="2" xr3:uid="{879898BD-D1FE-46B8-A4A7-A6A5EA2D9255}" name="Partie d'Ouvrage" dataDxfId="41"/>
    <tableColumn id="3" xr3:uid="{1143719C-9113-4019-B4D1-026A78FD8383}" name="Etage" dataDxfId="40"/>
    <tableColumn id="4" xr3:uid="{7FF409E7-B0C8-4331-ABDA-F4ADCDBD2B9C}" name="Appartement_Unite" dataDxfId="39"/>
    <tableColumn id="8" xr3:uid="{B0B19088-5B87-4FDE-9C18-559570B5F08F}" name="CodeAppartement"/>
    <tableColumn id="5" xr3:uid="{4FCA77EE-6AD6-45F8-8209-4CCA877FE878}" name="Nom typologie" dataDxfId="38"/>
    <tableColumn id="9" xr3:uid="{E4F50478-5FFB-4956-BEA1-2AA2CD3915FD}" name="Exploitation" dataDxfId="37"/>
    <tableColumn id="10" xr3:uid="{05E20A9D-8626-433F-820F-4C0659972B6B}" name="Gamme de logement" dataDxfId="36"/>
    <tableColumn id="7" xr3:uid="{05AADA2C-D681-42A5-9539-275DC592DB5D}" name="Nbr de pieces (GE)"/>
    <tableColumn id="6" xr3:uid="{B8B6FFCF-5515-4ADE-BDD4-3552F7820E78}" name="Nbr de pieces (VD)"/>
    <tableColumn id="13" xr3:uid="{E5D8D890-7E04-40E6-9034-2F00F6619E77}" name="Nbr de chambres" dataDxfId="3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5510E4-31BD-4139-BDC9-859C3AA769BD}" name="SurfacesSIA416" displayName="SurfacesSIA416" ref="A1:I3" totalsRowCount="1" headerRowDxfId="34" dataDxfId="33" headerRowBorderDxfId="31" tableBorderDxfId="32" totalsRowBorderDxfId="30">
  <autoFilter ref="A1:I2"/>
  <tableColumns count="9">
    <tableColumn id="1" xr3:uid="{65651934-7C97-46E2-9B8E-C1C779D72218}" name="ID Projet" dataDxfId="28" totalsRowDxfId="29"/>
    <tableColumn id="3" xr3:uid="{1B51BA53-AB89-40F1-9BE2-5E73B8A51E2D}" name="Partie de l'enveloppe" dataDxfId="26" totalsRowDxfId="27"/>
    <tableColumn id="11" xr3:uid="{8D4EE29E-B39F-4E80-8E59-30AB64CF68EE}" name="Partie d'Ouvrage" dataDxfId="24" totalsRowDxfId="25"/>
    <tableColumn id="5" xr3:uid="{2EFE6CC8-3216-490B-8ECE-1A10A453A1BB}" name="Etage" dataDxfId="22" totalsRowDxfId="23"/>
    <tableColumn id="12" xr3:uid="{47D1233C-B222-4C47-88A9-043D1F5BCF8D}" name="Longueur (m)" dataDxfId="20" totalsRowDxfId="21"/>
    <tableColumn id="13" xr3:uid="{BCF6BB7E-F827-425F-AE26-97F8B81D3CD3}" name="Hauteur (m)" dataDxfId="18" totalsRowDxfId="19"/>
    <tableColumn id="2" xr3:uid="{148517E2-5062-46C6-B944-4A4AB67FD1CA}" name="Surface Brutte" dataDxfId="16" totalsRowDxfId="17" dataCellStyle="Milliers" totalsRowCellStyle="Milliers"/>
    <tableColumn id="9" xr3:uid="{67F2EEF7-5BC1-4EC0-AA74-1C7F9F4718C1}" name="Surface nette (m2)" dataDxfId="14" totalsRowDxfId="15" dataCellStyle="Milliers" totalsRowCellStyle="Milliers"/>
    <tableColumn id="4" xr3:uid="{8ED0FFFF-FE95-461E-8E9E-C4A015BE2D2E}" name="Surface vitrée" dataDxfId="12" totalsRowDxfId="13" dataCellStyle="Milliers" totalsRowCellStyle="Milliers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C020B63-6CF6-4149-9438-D097C6AADD10}" name="Tableau1" displayName="Tableau1" ref="W1:W5" totalsRowShown="0" headerRowDxfId="11" headerRowBorderDxfId="9" tableBorderDxfId="10" totalsRowBorderDxfId="8">
  <autoFilter ref="W1:W5" xr:uid="{1C020B63-6CF6-4149-9438-D097C6AADD10}"/>
  <tableColumns count="1">
    <tableColumn id="1" xr3:uid="{8C603497-6CD9-422A-9A4D-3126C52C5E90}" name="Type Intervention" dataDxfId="7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3FDA10F-FFB9-47D7-86CD-1901151A64AE}" name="HsSs" displayName="HsSs" ref="C1:D34" totalsRowShown="0" headerRowDxfId="6" headerRowBorderDxfId="4" tableBorderDxfId="5" totalsRowBorderDxfId="3">
  <autoFilter ref="C1:D34" xr:uid="{D3FDA10F-FFB9-47D7-86CD-1901151A64AE}"/>
  <tableColumns count="2">
    <tableColumn id="1" xr3:uid="{B39EC331-7C17-4A53-9061-BC50D95A0A4D}" name="Niveau" dataDxfId="2"/>
    <tableColumn id="2" xr3:uid="{06B1BB22-D907-4F34-89ED-493DD71079FD}" name="Decoupage" dataDxfId="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0F8DE8-C2C3-4385-874F-53DB27779183}" name="CategoriesSIA416" displayName="CategoriesSIA416" ref="AW1:AX19" totalsRowShown="0" headerRowDxfId="0">
  <autoFilter ref="AW1:AX19" xr:uid="{780F8DE8-C2C3-4385-874F-53DB27779183}"/>
  <tableColumns count="2">
    <tableColumn id="1" xr3:uid="{1F468F45-7587-4A46-BB1B-10E06D26001C}" name="Description surface SIA 416"/>
    <tableColumn id="2" xr3:uid="{4B6093D4-F7B8-4A9F-8739-E8B914215740}" name="Code SIA 4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8D51C-7EC6-48CE-997E-394E39377ABA}">
  <sheetPr>
    <tabColor rgb="FF00B0F0"/>
  </sheetPr>
  <dimension ref="A1:C59"/>
  <sheetViews>
    <sheetView zoomScale="115" zoomScaleNormal="115" workbookViewId="0">
      <selection activeCell="C11" sqref="C11"/>
    </sheetView>
  </sheetViews>
  <sheetFormatPr defaultColWidth="11.42578125" defaultRowHeight="15"/>
  <cols>
    <col min="1" max="1" width="31.140625" style="28" bestFit="1" customWidth="1"/>
    <col min="2" max="2" width="55.28515625" bestFit="1" customWidth="1"/>
    <col min="3" max="3" width="31.140625" style="28" bestFit="1" customWidth="1"/>
  </cols>
  <sheetData>
    <row r="1" spans="1:3">
      <c r="A1" s="42" t="s">
        <v>0</v>
      </c>
      <c r="B1" s="17" t="s">
        <v>1</v>
      </c>
      <c r="C1" s="24" t="s">
        <v>2</v>
      </c>
    </row>
    <row r="2" spans="1:3">
      <c r="A2" s="30" t="s">
        <v>3</v>
      </c>
      <c r="B2" s="11" t="s">
        <v>4</v>
      </c>
      <c r="C2" s="30"/>
    </row>
    <row r="3" spans="1:3">
      <c r="A3" s="30" t="s">
        <v>3</v>
      </c>
      <c r="B3" s="11" t="s">
        <v>5</v>
      </c>
      <c r="C3" s="25"/>
    </row>
    <row r="4" spans="1:3">
      <c r="A4" s="30" t="s">
        <v>3</v>
      </c>
      <c r="B4" s="11" t="s">
        <v>6</v>
      </c>
      <c r="C4" s="25"/>
    </row>
    <row r="5" spans="1:3">
      <c r="A5" s="30" t="s">
        <v>3</v>
      </c>
      <c r="B5" s="11" t="s">
        <v>7</v>
      </c>
      <c r="C5" s="25"/>
    </row>
    <row r="6" spans="1:3">
      <c r="A6" s="25" t="s">
        <v>8</v>
      </c>
      <c r="B6" s="11" t="s">
        <v>9</v>
      </c>
      <c r="C6" s="25"/>
    </row>
    <row r="7" spans="1:3">
      <c r="A7" s="25" t="s">
        <v>8</v>
      </c>
      <c r="B7" s="11" t="s">
        <v>10</v>
      </c>
      <c r="C7" s="25"/>
    </row>
    <row r="8" spans="1:3">
      <c r="A8" s="25" t="s">
        <v>11</v>
      </c>
      <c r="B8" s="18" t="s">
        <v>12</v>
      </c>
      <c r="C8" s="25"/>
    </row>
    <row r="9" spans="1:3">
      <c r="A9" s="25" t="s">
        <v>11</v>
      </c>
      <c r="B9" s="18" t="s">
        <v>13</v>
      </c>
      <c r="C9" s="25"/>
    </row>
    <row r="10" spans="1:3">
      <c r="A10" s="25" t="s">
        <v>11</v>
      </c>
      <c r="B10" s="18" t="s">
        <v>14</v>
      </c>
      <c r="C10" s="25"/>
    </row>
    <row r="11" spans="1:3">
      <c r="A11" s="25" t="s">
        <v>11</v>
      </c>
      <c r="B11" s="18" t="s">
        <v>15</v>
      </c>
      <c r="C11" s="25"/>
    </row>
    <row r="12" spans="1:3">
      <c r="A12" s="25" t="s">
        <v>11</v>
      </c>
      <c r="B12" s="18" t="s">
        <v>16</v>
      </c>
      <c r="C12" s="31"/>
    </row>
    <row r="13" spans="1:3">
      <c r="A13" s="31" t="s">
        <v>17</v>
      </c>
      <c r="B13" s="18" t="s">
        <v>18</v>
      </c>
      <c r="C13" s="55"/>
    </row>
    <row r="14" spans="1:3">
      <c r="A14" s="31" t="s">
        <v>17</v>
      </c>
      <c r="B14" s="31" t="s">
        <v>19</v>
      </c>
      <c r="C14" s="57"/>
    </row>
    <row r="15" spans="1:3">
      <c r="A15" s="31" t="s">
        <v>17</v>
      </c>
      <c r="B15" s="31" t="s">
        <v>20</v>
      </c>
      <c r="C15" s="57"/>
    </row>
    <row r="16" spans="1:3">
      <c r="A16" s="32" t="s">
        <v>21</v>
      </c>
      <c r="B16" s="16" t="s">
        <v>22</v>
      </c>
      <c r="C16" s="32"/>
    </row>
    <row r="17" spans="1:3">
      <c r="A17" s="32" t="s">
        <v>21</v>
      </c>
      <c r="B17" s="11" t="s">
        <v>23</v>
      </c>
      <c r="C17" s="26"/>
    </row>
    <row r="18" spans="1:3">
      <c r="A18" s="32" t="s">
        <v>21</v>
      </c>
      <c r="B18" s="11" t="s">
        <v>24</v>
      </c>
      <c r="C18" s="26"/>
    </row>
    <row r="19" spans="1:3">
      <c r="A19" s="32" t="s">
        <v>21</v>
      </c>
      <c r="B19" s="16" t="s">
        <v>25</v>
      </c>
      <c r="C19" s="32"/>
    </row>
    <row r="20" spans="1:3">
      <c r="A20" s="32" t="s">
        <v>21</v>
      </c>
      <c r="B20" s="16" t="s">
        <v>26</v>
      </c>
      <c r="C20" s="32"/>
    </row>
    <row r="21" spans="1:3">
      <c r="A21" s="32" t="s">
        <v>21</v>
      </c>
      <c r="B21" s="16" t="s">
        <v>27</v>
      </c>
      <c r="C21" s="32"/>
    </row>
    <row r="22" spans="1:3">
      <c r="A22" s="32" t="s">
        <v>21</v>
      </c>
      <c r="B22" s="16" t="s">
        <v>28</v>
      </c>
      <c r="C22" s="32"/>
    </row>
    <row r="23" spans="1:3">
      <c r="A23" s="32" t="s">
        <v>21</v>
      </c>
      <c r="B23" s="16" t="s">
        <v>29</v>
      </c>
      <c r="C23" s="32"/>
    </row>
    <row r="24" spans="1:3">
      <c r="A24" s="32" t="s">
        <v>21</v>
      </c>
      <c r="B24" s="19" t="s">
        <v>30</v>
      </c>
      <c r="C24" s="32"/>
    </row>
    <row r="25" spans="1:3">
      <c r="A25" s="32" t="s">
        <v>21</v>
      </c>
      <c r="B25" s="18" t="s">
        <v>31</v>
      </c>
      <c r="C25" s="32"/>
    </row>
    <row r="26" spans="1:3">
      <c r="A26" s="32" t="s">
        <v>21</v>
      </c>
      <c r="B26" s="18" t="s">
        <v>32</v>
      </c>
      <c r="C26" s="32"/>
    </row>
    <row r="27" spans="1:3">
      <c r="A27" s="32" t="s">
        <v>21</v>
      </c>
      <c r="B27" s="18" t="s">
        <v>33</v>
      </c>
      <c r="C27" s="32"/>
    </row>
    <row r="28" spans="1:3">
      <c r="A28" s="32" t="s">
        <v>21</v>
      </c>
      <c r="B28" s="9" t="s">
        <v>34</v>
      </c>
      <c r="C28" s="32"/>
    </row>
    <row r="29" spans="1:3">
      <c r="A29" s="32" t="s">
        <v>21</v>
      </c>
      <c r="B29" s="11" t="s">
        <v>35</v>
      </c>
      <c r="C29" s="26"/>
    </row>
    <row r="30" spans="1:3">
      <c r="A30" s="32" t="s">
        <v>36</v>
      </c>
      <c r="B30" s="11" t="s">
        <v>37</v>
      </c>
      <c r="C30" s="32"/>
    </row>
    <row r="31" spans="1:3">
      <c r="A31" s="32" t="s">
        <v>36</v>
      </c>
      <c r="B31" s="11" t="s">
        <v>38</v>
      </c>
      <c r="C31" s="32"/>
    </row>
    <row r="32" spans="1:3">
      <c r="A32" s="32" t="s">
        <v>36</v>
      </c>
      <c r="B32" s="11" t="s">
        <v>39</v>
      </c>
      <c r="C32" s="32"/>
    </row>
    <row r="33" spans="1:3">
      <c r="A33" s="32" t="s">
        <v>36</v>
      </c>
      <c r="B33" s="11" t="s">
        <v>40</v>
      </c>
      <c r="C33" s="32"/>
    </row>
    <row r="34" spans="1:3">
      <c r="A34" s="32" t="s">
        <v>36</v>
      </c>
      <c r="B34" s="11" t="s">
        <v>41</v>
      </c>
      <c r="C34" s="26"/>
    </row>
    <row r="35" spans="1:3">
      <c r="A35" s="32" t="s">
        <v>36</v>
      </c>
      <c r="B35" s="58" t="s">
        <v>42</v>
      </c>
      <c r="C35" s="57"/>
    </row>
    <row r="36" spans="1:3">
      <c r="A36" s="32" t="s">
        <v>36</v>
      </c>
      <c r="B36" s="58" t="s">
        <v>43</v>
      </c>
      <c r="C36" s="73"/>
    </row>
    <row r="37" spans="1:3">
      <c r="A37" s="26" t="s">
        <v>44</v>
      </c>
      <c r="B37" s="59" t="s">
        <v>45</v>
      </c>
      <c r="C37" s="73"/>
    </row>
    <row r="38" spans="1:3">
      <c r="A38" s="26" t="s">
        <v>44</v>
      </c>
      <c r="B38" s="59" t="s">
        <v>46</v>
      </c>
      <c r="C38" s="73"/>
    </row>
    <row r="39" spans="1:3">
      <c r="A39" s="26" t="s">
        <v>44</v>
      </c>
      <c r="B39" s="58" t="s">
        <v>47</v>
      </c>
      <c r="C39" s="73"/>
    </row>
    <row r="40" spans="1:3">
      <c r="A40" s="26" t="s">
        <v>44</v>
      </c>
      <c r="B40" s="58" t="s">
        <v>48</v>
      </c>
      <c r="C40" s="73"/>
    </row>
    <row r="41" spans="1:3">
      <c r="A41" s="26" t="s">
        <v>44</v>
      </c>
      <c r="B41" s="58" t="s">
        <v>49</v>
      </c>
      <c r="C41" s="73"/>
    </row>
    <row r="42" spans="1:3">
      <c r="A42" s="26" t="s">
        <v>44</v>
      </c>
      <c r="B42" s="59" t="s">
        <v>50</v>
      </c>
      <c r="C42" s="73"/>
    </row>
    <row r="43" spans="1:3">
      <c r="A43" s="26" t="s">
        <v>44</v>
      </c>
      <c r="B43" s="58" t="s">
        <v>51</v>
      </c>
      <c r="C43" s="73"/>
    </row>
    <row r="44" spans="1:3">
      <c r="A44" s="26" t="s">
        <v>44</v>
      </c>
      <c r="B44" s="8" t="s">
        <v>52</v>
      </c>
      <c r="C44" s="73"/>
    </row>
    <row r="45" spans="1:3">
      <c r="A45" s="26" t="s">
        <v>53</v>
      </c>
      <c r="B45" s="58" t="s">
        <v>54</v>
      </c>
      <c r="C45" s="73"/>
    </row>
    <row r="46" spans="1:3">
      <c r="A46" s="26" t="s">
        <v>53</v>
      </c>
      <c r="B46" s="58" t="s">
        <v>55</v>
      </c>
      <c r="C46" s="73"/>
    </row>
    <row r="47" spans="1:3">
      <c r="A47" s="26" t="s">
        <v>53</v>
      </c>
      <c r="B47" s="58" t="s">
        <v>56</v>
      </c>
      <c r="C47" s="73"/>
    </row>
    <row r="48" spans="1:3">
      <c r="A48" s="26" t="s">
        <v>53</v>
      </c>
      <c r="B48" s="59" t="s">
        <v>57</v>
      </c>
      <c r="C48" s="73"/>
    </row>
    <row r="49" spans="1:3">
      <c r="A49" s="26" t="s">
        <v>53</v>
      </c>
      <c r="B49" s="59" t="s">
        <v>58</v>
      </c>
      <c r="C49" s="73"/>
    </row>
    <row r="50" spans="1:3">
      <c r="A50" s="26" t="s">
        <v>53</v>
      </c>
      <c r="B50" s="59" t="s">
        <v>59</v>
      </c>
      <c r="C50" s="73"/>
    </row>
    <row r="51" spans="1:3">
      <c r="A51" s="26" t="s">
        <v>53</v>
      </c>
      <c r="B51" s="59" t="s">
        <v>60</v>
      </c>
      <c r="C51" s="73"/>
    </row>
    <row r="52" spans="1:3">
      <c r="A52" s="26" t="s">
        <v>53</v>
      </c>
      <c r="B52" s="59" t="s">
        <v>61</v>
      </c>
      <c r="C52" s="73"/>
    </row>
    <row r="53" spans="1:3">
      <c r="A53" s="26" t="s">
        <v>53</v>
      </c>
      <c r="B53" s="59" t="s">
        <v>62</v>
      </c>
      <c r="C53" s="74"/>
    </row>
    <row r="54" spans="1:3">
      <c r="A54" s="27" t="s">
        <v>63</v>
      </c>
      <c r="B54" s="58" t="s">
        <v>64</v>
      </c>
      <c r="C54" s="73"/>
    </row>
    <row r="55" spans="1:3">
      <c r="A55" s="27" t="s">
        <v>63</v>
      </c>
      <c r="B55" s="58" t="s">
        <v>65</v>
      </c>
      <c r="C55" s="60"/>
    </row>
    <row r="56" spans="1:3">
      <c r="A56" s="27" t="s">
        <v>63</v>
      </c>
      <c r="B56" s="58" t="s">
        <v>66</v>
      </c>
      <c r="C56" s="60"/>
    </row>
    <row r="57" spans="1:3">
      <c r="A57" s="27" t="s">
        <v>63</v>
      </c>
      <c r="B57" s="58" t="s">
        <v>67</v>
      </c>
      <c r="C57" s="60"/>
    </row>
    <row r="58" spans="1:3">
      <c r="A58" s="27" t="s">
        <v>63</v>
      </c>
      <c r="B58" s="58" t="s">
        <v>68</v>
      </c>
      <c r="C58" s="60"/>
    </row>
    <row r="59" spans="1:3">
      <c r="A59" s="27" t="s">
        <v>63</v>
      </c>
      <c r="B59" s="58" t="s">
        <v>69</v>
      </c>
      <c r="C59" s="60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D23B7528-3FB9-449E-B42A-DE5C07DA0840}">
          <x14:formula1>
            <xm:f>'Listes formulaire'!$A$2:$A$23</xm:f>
          </x14:formula1>
          <xm:sqref>C6</xm:sqref>
        </x14:dataValidation>
        <x14:dataValidation type="list" allowBlank="1" showInputMessage="1" showErrorMessage="1" xr:uid="{7DCD6DF8-CBEE-4642-B2C1-1C4D4E1B43E7}">
          <x14:formula1>
            <xm:f>'Listes formulaire'!$J$2:$J$10</xm:f>
          </x14:formula1>
          <xm:sqref>C9</xm:sqref>
        </x14:dataValidation>
        <x14:dataValidation type="list" allowBlank="1" showInputMessage="1" showErrorMessage="1" xr:uid="{941C1E47-9438-4C3F-8BC6-455D150FF2E5}">
          <x14:formula1>
            <xm:f>'Listes formulaire'!$L$2:$L$11</xm:f>
          </x14:formula1>
          <xm:sqref>C11</xm:sqref>
        </x14:dataValidation>
        <x14:dataValidation type="list" allowBlank="1" showInputMessage="1" showErrorMessage="1" xr:uid="{CDFB8D21-1518-41E5-9C9F-1DC9F4128471}">
          <x14:formula1>
            <xm:f>'Listes formulaire'!$T$3:$T$28</xm:f>
          </x14:formula1>
          <xm:sqref>C3</xm:sqref>
        </x14:dataValidation>
        <x14:dataValidation type="list" allowBlank="1" showInputMessage="1" showErrorMessage="1" xr:uid="{F19B3E6A-41E1-4669-9F86-DB74E50A3FD0}">
          <x14:formula1>
            <xm:f>'Listes formulaire'!$W$2:$W$5</xm:f>
          </x14:formula1>
          <xm:sqref>C7</xm:sqref>
        </x14:dataValidation>
        <x14:dataValidation type="list" allowBlank="1" showInputMessage="1" showErrorMessage="1" xr:uid="{4EDEA299-B99A-4D7F-884D-7DFDAED2DE77}">
          <x14:formula1>
            <xm:f>'Listes formulaire'!$AC$2:$AC$7</xm:f>
          </x14:formula1>
          <xm:sqref>C53</xm:sqref>
        </x14:dataValidation>
        <x14:dataValidation type="list" allowBlank="1" showInputMessage="1" showErrorMessage="1" xr:uid="{1D6A0578-51EB-41FE-9F39-CD912DB4FB97}">
          <x14:formula1>
            <xm:f>'Listes formulaire'!$AE$2:$AE$5</xm:f>
          </x14:formula1>
          <xm:sqref>C17</xm:sqref>
        </x14:dataValidation>
        <x14:dataValidation type="list" allowBlank="1" showInputMessage="1" showErrorMessage="1" xr:uid="{5EC18033-0034-47AB-B06F-C8F8FD681F28}">
          <x14:formula1>
            <xm:f>'Listes formulaire'!$AG$2:$AG$4</xm:f>
          </x14:formula1>
          <xm:sqref>C39</xm:sqref>
        </x14:dataValidation>
        <x14:dataValidation type="list" allowBlank="1" showInputMessage="1" showErrorMessage="1" xr:uid="{9B51EBFA-6C33-47A4-A8EB-CA32A5F43E31}">
          <x14:formula1>
            <xm:f>'Listes formulaire'!$Y$2:$Y$5</xm:f>
          </x14:formula1>
          <xm:sqref>C45 C40 C41</xm:sqref>
        </x14:dataValidation>
        <x14:dataValidation type="list" allowBlank="1" showInputMessage="1" showErrorMessage="1" xr:uid="{2756F7CE-07AA-42F2-A80A-A6A09D1E476D}">
          <x14:formula1>
            <xm:f>'Listes formulaire'!$AI$2:$AI$12</xm:f>
          </x14:formula1>
          <xm:sqref>C46</xm:sqref>
        </x14:dataValidation>
        <x14:dataValidation type="list" allowBlank="1" showInputMessage="1" showErrorMessage="1" xr:uid="{224C3ACF-5B3D-449A-9012-7FCFB635700F}">
          <x14:formula1>
            <xm:f>'Listes formulaire'!$AK$2:$AK$12</xm:f>
          </x14:formula1>
          <xm:sqref>C47</xm:sqref>
        </x14:dataValidation>
        <x14:dataValidation type="list" allowBlank="1" showInputMessage="1" showErrorMessage="1" xr:uid="{B9FEB63D-8451-40AA-BDE4-7E3B7B62E3F3}">
          <x14:formula1>
            <xm:f>'Listes formulaire'!$AM$2:$AM$12</xm:f>
          </x14:formula1>
          <xm:sqref>C48</xm:sqref>
        </x14:dataValidation>
        <x14:dataValidation type="list" allowBlank="1" showInputMessage="1" showErrorMessage="1" xr:uid="{BE428744-E5C8-453A-8EEE-38601252A5F4}">
          <x14:formula1>
            <xm:f>'Listes formulaire'!$AO$2:$AO$12</xm:f>
          </x14:formula1>
          <xm:sqref>C49</xm:sqref>
        </x14:dataValidation>
        <x14:dataValidation type="list" allowBlank="1" showInputMessage="1" showErrorMessage="1" xr:uid="{0FDE7743-93FF-4BFB-B9C6-A5B5539B4750}">
          <x14:formula1>
            <xm:f>'Listes formulaire'!$AQ$2:$AQ$12</xm:f>
          </x14:formula1>
          <xm:sqref>C50</xm:sqref>
        </x14:dataValidation>
        <x14:dataValidation type="list" allowBlank="1" showInputMessage="1" showErrorMessage="1" xr:uid="{D20B00E3-E81A-4340-90B3-BCFE24D56249}">
          <x14:formula1>
            <xm:f>'Listes formulaire'!$AA$2:$AA$14</xm:f>
          </x14:formula1>
          <xm:sqref>C37</xm:sqref>
        </x14:dataValidation>
        <x14:dataValidation type="list" allowBlank="1" showInputMessage="1" showErrorMessage="1" xr:uid="{9633AFB0-D854-4B24-B827-8506714BB4CC}">
          <x14:formula1>
            <xm:f>'Listes formulaire'!$AS$2:$AS$12</xm:f>
          </x14:formula1>
          <xm:sqref>C38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6830B-A620-4A3F-B772-6017B1B2171F}">
  <sheetPr>
    <tabColor rgb="FF00B0F0"/>
  </sheetPr>
  <dimension ref="A1:I2"/>
  <sheetViews>
    <sheetView zoomScaleNormal="100" workbookViewId="0">
      <selection activeCell="C13" sqref="C13"/>
    </sheetView>
  </sheetViews>
  <sheetFormatPr defaultColWidth="11.42578125" defaultRowHeight="15"/>
  <cols>
    <col min="1" max="1" width="13" customWidth="1"/>
    <col min="2" max="2" width="18" bestFit="1" customWidth="1"/>
    <col min="3" max="3" width="22.85546875" bestFit="1" customWidth="1"/>
    <col min="4" max="4" width="43.5703125" bestFit="1" customWidth="1"/>
    <col min="5" max="5" width="23.28515625" customWidth="1"/>
    <col min="6" max="6" width="23.7109375" customWidth="1"/>
    <col min="7" max="7" width="20.5703125" customWidth="1"/>
    <col min="8" max="8" width="25.140625" bestFit="1" customWidth="1"/>
    <col min="9" max="9" width="23.7109375" bestFit="1" customWidth="1"/>
  </cols>
  <sheetData>
    <row r="1" spans="1:9">
      <c r="A1" t="s">
        <v>70</v>
      </c>
      <c r="B1" t="s">
        <v>71</v>
      </c>
      <c r="C1" t="s">
        <v>72</v>
      </c>
      <c r="D1" t="s">
        <v>73</v>
      </c>
      <c r="E1" t="s">
        <v>19</v>
      </c>
      <c r="F1" t="s">
        <v>20</v>
      </c>
      <c r="G1" t="s">
        <v>74</v>
      </c>
      <c r="H1" t="s">
        <v>75</v>
      </c>
      <c r="I1" t="s">
        <v>76</v>
      </c>
    </row>
    <row r="2">
      <c r="A2" s="30"/>
      <c r="B2" s="7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59D56-5113-4D5A-942B-6E9D6B6DC512}">
  <sheetPr>
    <tabColor theme="5"/>
  </sheetPr>
  <dimension ref="A1:N32"/>
  <sheetViews>
    <sheetView tabSelected="1" zoomScale="70" zoomScaleNormal="70" workbookViewId="0">
      <pane ySplit="1" topLeftCell="A105" activePane="bottomLeft" state="frozen"/>
      <selection pane="bottomLeft" activeCell="F156" sqref="F156"/>
      <selection activeCell="K2" sqref="K2"/>
    </sheetView>
  </sheetViews>
  <sheetFormatPr defaultColWidth="9.140625" defaultRowHeight="15"/>
  <cols>
    <col min="1" max="1" width="11" customWidth="1"/>
    <col min="2" max="2" width="41" customWidth="1"/>
    <col min="3" max="3" width="15.42578125" customWidth="1"/>
    <col min="4" max="4" width="10.28515625" bestFit="1" customWidth="1"/>
    <col min="5" max="5" width="17.28515625" style="35" bestFit="1" customWidth="1"/>
    <col min="6" max="6" width="22.85546875" style="35" bestFit="1" customWidth="1"/>
    <col min="7" max="7" width="25" style="35" bestFit="1" customWidth="1"/>
    <col min="8" max="10" width="25" style="35" customWidth="1"/>
    <col min="11" max="12" width="18.42578125" customWidth="1"/>
    <col min="14" max="14" width="9.5703125" bestFit="1" customWidth="1"/>
    <col min="15" max="15" width="35.28515625" bestFit="1" customWidth="1"/>
  </cols>
  <sheetData>
    <row r="1" spans="1:12" s="1" customFormat="1">
      <c r="A1" s="12" t="s">
        <v>70</v>
      </c>
      <c r="B1" s="13" t="s">
        <v>77</v>
      </c>
      <c r="C1" s="13" t="s">
        <v>71</v>
      </c>
      <c r="D1" s="13" t="s">
        <v>78</v>
      </c>
      <c r="E1" s="33" t="s">
        <v>79</v>
      </c>
      <c r="F1" s="53" t="s">
        <v>80</v>
      </c>
      <c r="G1" s="53" t="s">
        <v>81</v>
      </c>
      <c r="H1" s="15" t="s">
        <v>82</v>
      </c>
      <c r="I1" s="53" t="s">
        <v>83</v>
      </c>
      <c r="J1" s="53" t="s">
        <v>84</v>
      </c>
      <c r="K1" s="82" t="s">
        <v>85</v>
      </c>
      <c r="L1" s="15" t="s">
        <v>86</v>
      </c>
    </row>
    <row r="2" ht="18.75" customHeight="1">
      <c r="A2" s="81"/>
      <c r="E2" s="34"/>
      <c r="F2" s="2"/>
      <c r="G2" s="2"/>
      <c r="I2" s="2"/>
      <c r="L2" s="70"/>
    </row>
    <row r="32">
      <c r="N32" s="56"/>
    </row>
  </sheetData>
  <phoneticPr fontId="6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F3B2826-E6BC-4417-AFC7-51084AE46752}">
          <x14:formula1>
            <xm:f>'Listes formulaire'!$D$2:$D$35</xm:f>
          </x14:formula1>
          <xm:sqref>E81 E73 E11 E20 E28 E36 E46 E55 E64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C0C4A-AC11-411D-82A1-3936808CBC1D}">
  <sheetPr>
    <tabColor theme="5"/>
  </sheetPr>
  <dimension ref="A1:I2"/>
  <sheetViews>
    <sheetView zoomScale="70" zoomScaleNormal="70" workbookViewId="0">
      <pane ySplit="1" topLeftCell="A361" activePane="bottomLeft" state="frozen"/>
      <selection pane="bottomLeft" activeCell="G370" sqref="G370"/>
      <selection activeCell="K2" sqref="K2"/>
    </sheetView>
  </sheetViews>
  <sheetFormatPr defaultColWidth="9.140625" defaultRowHeight="15"/>
  <cols>
    <col min="1" max="1" width="11" customWidth="1"/>
    <col min="2" max="2" width="24.5703125" style="8" bestFit="1" customWidth="1"/>
    <col min="3" max="3" width="15.42578125" style="8" customWidth="1"/>
    <col min="4" max="4" width="20.85546875" style="54" customWidth="1"/>
    <col min="5" max="5" width="10.28515625" bestFit="1" customWidth="1"/>
    <col min="6" max="6" width="27.140625" style="76" bestFit="1" customWidth="1"/>
    <col min="7" max="7" width="21.140625" style="54" customWidth="1"/>
    <col min="8" max="8" width="26.5703125" customWidth="1"/>
    <col min="9" max="9" width="18.42578125" style="79" bestFit="1" customWidth="1"/>
    <col min="10" max="10" width="19.42578125" customWidth="1"/>
    <col min="11" max="11" width="25" customWidth="1"/>
    <col min="14" max="14" width="15" bestFit="1" customWidth="1"/>
    <col min="15" max="15" width="12.5703125" bestFit="1" customWidth="1"/>
  </cols>
  <sheetData>
    <row r="1" spans="1:9" s="1" customFormat="1">
      <c r="A1" s="12" t="s">
        <v>70</v>
      </c>
      <c r="B1" s="14" t="s">
        <v>77</v>
      </c>
      <c r="C1" s="14" t="s">
        <v>71</v>
      </c>
      <c r="D1" s="14" t="s">
        <v>87</v>
      </c>
      <c r="E1" s="13" t="s">
        <v>78</v>
      </c>
      <c r="F1" s="75" t="s">
        <v>88</v>
      </c>
      <c r="G1" s="14" t="s">
        <v>89</v>
      </c>
      <c r="H1" s="13" t="s">
        <v>90</v>
      </c>
      <c r="I1" s="77" t="s">
        <v>85</v>
      </c>
    </row>
    <row r="2" ht="15.75">
      <c r="A2" s="80"/>
      <c r="D2" s="4"/>
      <c r="F2" s="104"/>
      <c r="I2" s="78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86178-74C3-4BEE-8496-D12FC4E44554}">
  <sheetPr>
    <tabColor theme="5" tint="0.39997558519241921"/>
  </sheetPr>
  <dimension ref="A1:D2"/>
  <sheetViews>
    <sheetView zoomScaleNormal="100" workbookViewId="0">
      <pane ySplit="1" topLeftCell="A2" activePane="bottomLeft" state="frozen"/>
      <selection pane="bottomLeft" activeCell="C1" sqref="C1"/>
      <selection activeCell="J30" sqref="J30"/>
    </sheetView>
  </sheetViews>
  <sheetFormatPr defaultColWidth="9.140625" defaultRowHeight="15"/>
  <cols>
    <col min="1" max="1" width="11" customWidth="1"/>
    <col min="2" max="2" width="16.7109375" style="8" bestFit="1" customWidth="1"/>
    <col min="3" max="3" width="17.28515625" style="35" bestFit="1" customWidth="1"/>
    <col min="4" max="4" width="18.42578125" bestFit="1" customWidth="1"/>
    <col min="5" max="5" width="19.42578125" customWidth="1"/>
    <col min="6" max="6" width="25" customWidth="1"/>
    <col min="9" max="9" width="15" bestFit="1" customWidth="1"/>
    <col min="10" max="10" width="12.5703125" bestFit="1" customWidth="1"/>
  </cols>
  <sheetData>
    <row r="1" spans="1:4" s="1" customFormat="1">
      <c r="A1" s="12" t="s">
        <v>70</v>
      </c>
      <c r="B1" s="14" t="s">
        <v>91</v>
      </c>
      <c r="C1" s="75" t="s">
        <v>88</v>
      </c>
      <c r="D1" s="15" t="s">
        <v>85</v>
      </c>
    </row>
    <row r="2">
      <c r="A2" s="80"/>
      <c r="B2" s="10"/>
      <c r="C2" s="2"/>
      <c r="D2" s="2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88068-E2C4-4898-80EE-D88E7F9BE7B0}">
  <sheetPr>
    <tabColor theme="5"/>
  </sheetPr>
  <dimension ref="A1:K2"/>
  <sheetViews>
    <sheetView zoomScale="70" zoomScaleNormal="70" workbookViewId="0">
      <selection activeCell="I1" sqref="I1:J1"/>
    </sheetView>
  </sheetViews>
  <sheetFormatPr defaultColWidth="11.42578125" defaultRowHeight="15"/>
  <cols>
    <col min="2" max="2" width="17.28515625" bestFit="1" customWidth="1"/>
    <col min="4" max="5" width="17.5703125" customWidth="1"/>
    <col min="6" max="6" width="24.5703125" style="54" customWidth="1"/>
    <col min="7" max="7" width="15.140625" bestFit="1" customWidth="1"/>
    <col min="8" max="8" width="21.28515625" bestFit="1" customWidth="1"/>
    <col min="9" max="10" width="21.28515625" customWidth="1"/>
    <col min="11" max="11" width="18.85546875" bestFit="1" customWidth="1"/>
  </cols>
  <sheetData>
    <row r="1" spans="1:11" s="1" customFormat="1">
      <c r="A1" s="46" t="s">
        <v>70</v>
      </c>
      <c r="B1" s="45" t="s">
        <v>71</v>
      </c>
      <c r="C1" s="46" t="s">
        <v>78</v>
      </c>
      <c r="D1" s="75" t="s">
        <v>88</v>
      </c>
      <c r="E1" s="98" t="s">
        <v>92</v>
      </c>
      <c r="F1" s="46" t="s">
        <v>93</v>
      </c>
      <c r="G1" s="45" t="s">
        <v>94</v>
      </c>
      <c r="H1" s="45" t="s">
        <v>95</v>
      </c>
      <c r="I1" s="45" t="s">
        <v>96</v>
      </c>
      <c r="J1" s="45" t="s">
        <v>97</v>
      </c>
      <c r="K1" s="45" t="s">
        <v>31</v>
      </c>
    </row>
    <row r="2">
      <c r="A2" s="61"/>
      <c r="F2" s="8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149A6-D3D3-4B71-BED3-6A9C5B2780DA}">
  <sheetPr>
    <tabColor theme="5"/>
  </sheetPr>
  <dimension ref="A1:P23"/>
  <sheetViews>
    <sheetView topLeftCell="C1" zoomScaleNormal="100" workbookViewId="0">
      <pane ySplit="1" topLeftCell="A2" activePane="bottomLeft" state="frozen"/>
      <selection pane="bottomLeft" activeCell="AB20" sqref="AB20"/>
      <selection activeCell="K2" sqref="K2"/>
    </sheetView>
  </sheetViews>
  <sheetFormatPr defaultColWidth="9.140625" defaultRowHeight="15"/>
  <cols>
    <col min="1" max="1" width="11" customWidth="1"/>
    <col min="2" max="2" width="41" style="8" customWidth="1"/>
    <col min="3" max="3" width="15.42578125" style="8" customWidth="1"/>
    <col min="4" max="4" width="31.85546875" customWidth="1"/>
    <col min="5" max="5" width="14.7109375" bestFit="1" customWidth="1"/>
    <col min="6" max="6" width="13.5703125" bestFit="1" customWidth="1"/>
    <col min="7" max="7" width="16.140625" bestFit="1" customWidth="1"/>
    <col min="8" max="8" width="18.42578125" bestFit="1" customWidth="1"/>
    <col min="9" max="9" width="19.42578125" customWidth="1"/>
    <col min="10" max="10" width="6.7109375" customWidth="1"/>
    <col min="11" max="11" width="21.42578125" hidden="1" customWidth="1"/>
    <col min="12" max="12" width="15" hidden="1" customWidth="1"/>
    <col min="13" max="13" width="20.140625" hidden="1" customWidth="1"/>
    <col min="14" max="14" width="24" hidden="1" customWidth="1"/>
    <col min="15" max="15" width="18.42578125" hidden="1" customWidth="1"/>
    <col min="16" max="16" width="20.42578125" hidden="1" customWidth="1"/>
  </cols>
  <sheetData>
    <row r="1" spans="1:16" s="1" customFormat="1">
      <c r="A1" s="12" t="s">
        <v>70</v>
      </c>
      <c r="B1" s="14" t="s">
        <v>98</v>
      </c>
      <c r="C1" s="49" t="s">
        <v>71</v>
      </c>
      <c r="D1" s="13" t="s">
        <v>78</v>
      </c>
      <c r="E1" s="15" t="s">
        <v>99</v>
      </c>
      <c r="F1" s="15" t="s">
        <v>100</v>
      </c>
      <c r="G1" s="15" t="s">
        <v>101</v>
      </c>
      <c r="H1" s="15" t="s">
        <v>102</v>
      </c>
      <c r="I1" s="13" t="s">
        <v>103</v>
      </c>
      <c r="K1" s="83" t="s">
        <v>104</v>
      </c>
      <c r="L1" t="s">
        <v>105</v>
      </c>
    </row>
    <row r="2" s="1" customFormat="1" ht="15.75">
      <c r="A2" s="64"/>
      <c r="B2" s="10"/>
      <c r="C2" s="63"/>
      <c r="D2" s="4"/>
      <c r="E2" s="65"/>
      <c r="F2" s="65"/>
      <c r="G2" s="87"/>
      <c r="H2" s="88"/>
      <c r="I2" s="89"/>
      <c r="K2"/>
      <c r="L2"/>
      <c r="M2"/>
    </row>
    <row r="3" ht="15.75">
      <c r="A3" s="59"/>
      <c r="B3" s="63"/>
      <c r="C3" s="93"/>
      <c r="D3" s="63"/>
      <c r="E3" s="94"/>
      <c r="F3" s="94"/>
      <c r="G3" s="95"/>
      <c r="H3" s="96"/>
      <c r="I3" s="97"/>
      <c r="K3" s="83" t="s">
        <v>106</v>
      </c>
      <c r="L3" s="83" t="s">
        <v>107</v>
      </c>
      <c r="M3" t="s">
        <v>108</v>
      </c>
      <c r="N3" t="s">
        <v>109</v>
      </c>
      <c r="O3" t="s">
        <v>110</v>
      </c>
      <c r="P3" t="s">
        <v>111</v>
      </c>
    </row>
    <row r="4" ht="15.75">
      <c r="K4" t="s">
        <v>112</v>
      </c>
      <c r="L4" t="s">
        <v>113</v>
      </c>
      <c r="M4">
        <v>86.5</v>
      </c>
      <c r="N4">
        <v>3.04</v>
      </c>
      <c r="O4">
        <v>207.13</v>
      </c>
      <c r="P4">
        <v>263.07</v>
      </c>
    </row>
    <row r="5" ht="15.75">
      <c r="L5" t="s">
        <v>114</v>
      </c>
      <c r="M5">
        <v>85.7</v>
      </c>
      <c r="N5">
        <v>2.86</v>
      </c>
      <c r="O5">
        <v>186.56</v>
      </c>
      <c r="P5">
        <v>245.09</v>
      </c>
    </row>
    <row r="6" ht="15.75">
      <c r="L6" t="s">
        <v>115</v>
      </c>
      <c r="M6">
        <v>95.2</v>
      </c>
      <c r="N6">
        <v>2.86</v>
      </c>
      <c r="O6">
        <v>202.73</v>
      </c>
      <c r="P6">
        <v>272.39999999999998</v>
      </c>
    </row>
    <row r="7" ht="15.75">
      <c r="L7" t="s">
        <v>116</v>
      </c>
      <c r="M7">
        <v>114</v>
      </c>
      <c r="N7">
        <v>2.79</v>
      </c>
      <c r="O7">
        <v>315.77999999999997</v>
      </c>
      <c r="P7">
        <v>318.08999999999997</v>
      </c>
    </row>
    <row r="8" ht="15.75">
      <c r="L8" t="s">
        <v>117</v>
      </c>
      <c r="M8">
        <v>0</v>
      </c>
      <c r="N8">
        <v>3</v>
      </c>
      <c r="O8">
        <v>0</v>
      </c>
      <c r="P8">
        <v>0</v>
      </c>
    </row>
    <row r="9" ht="15.75">
      <c r="K9" t="s">
        <v>118</v>
      </c>
      <c r="L9" t="s">
        <v>113</v>
      </c>
      <c r="M9">
        <v>86.3</v>
      </c>
      <c r="N9">
        <v>3.04</v>
      </c>
      <c r="O9">
        <v>206.67</v>
      </c>
      <c r="P9">
        <v>262.36</v>
      </c>
    </row>
    <row r="10" ht="15.75">
      <c r="L10" t="s">
        <v>114</v>
      </c>
      <c r="M10">
        <v>85.4</v>
      </c>
      <c r="N10">
        <v>2.86</v>
      </c>
      <c r="O10">
        <v>186.92</v>
      </c>
      <c r="P10">
        <v>244.11</v>
      </c>
    </row>
    <row r="11" ht="15.75">
      <c r="L11" t="s">
        <v>115</v>
      </c>
      <c r="M11">
        <v>95.3</v>
      </c>
      <c r="N11">
        <v>2.86</v>
      </c>
      <c r="O11">
        <v>202.46</v>
      </c>
      <c r="P11">
        <v>272.49</v>
      </c>
    </row>
    <row r="12" ht="15.75">
      <c r="L12" t="s">
        <v>116</v>
      </c>
      <c r="M12">
        <v>100.6</v>
      </c>
      <c r="N12">
        <v>3.5</v>
      </c>
      <c r="O12">
        <v>352.02</v>
      </c>
      <c r="P12">
        <v>352.02</v>
      </c>
    </row>
    <row r="13" ht="15.75">
      <c r="L13" t="s">
        <v>117</v>
      </c>
      <c r="M13">
        <v>0</v>
      </c>
      <c r="N13">
        <v>3</v>
      </c>
      <c r="O13">
        <v>0</v>
      </c>
      <c r="P13">
        <v>0</v>
      </c>
    </row>
    <row r="14" ht="15.75">
      <c r="K14" t="s">
        <v>119</v>
      </c>
      <c r="L14" t="s">
        <v>113</v>
      </c>
      <c r="M14">
        <v>90.4</v>
      </c>
      <c r="N14">
        <v>3.04</v>
      </c>
      <c r="O14">
        <v>225.46</v>
      </c>
      <c r="P14">
        <v>274.70999999999998</v>
      </c>
    </row>
    <row r="15" ht="15.75">
      <c r="L15" t="s">
        <v>114</v>
      </c>
      <c r="M15">
        <v>99.9</v>
      </c>
      <c r="N15">
        <v>2.86</v>
      </c>
      <c r="O15">
        <v>238.64</v>
      </c>
      <c r="P15">
        <v>285.74</v>
      </c>
    </row>
    <row r="16" ht="15.75">
      <c r="L16" t="s">
        <v>115</v>
      </c>
      <c r="M16">
        <v>99.9</v>
      </c>
      <c r="N16">
        <v>2.86</v>
      </c>
      <c r="O16">
        <v>217.19</v>
      </c>
      <c r="P16">
        <v>285.72000000000003</v>
      </c>
    </row>
    <row r="17" s="1" customFormat="1" ht="15.75">
      <c r="K17"/>
      <c r="L17" t="s">
        <v>117</v>
      </c>
      <c r="M17">
        <v>0</v>
      </c>
      <c r="N17">
        <v>3</v>
      </c>
      <c r="O17">
        <v>0</v>
      </c>
      <c r="P17">
        <v>0</v>
      </c>
    </row>
    <row r="18" ht="15.75">
      <c r="K18" t="s">
        <v>120</v>
      </c>
      <c r="L18" t="s">
        <v>113</v>
      </c>
      <c r="M18">
        <v>95.5</v>
      </c>
      <c r="N18">
        <v>3.09</v>
      </c>
      <c r="O18">
        <v>228.17</v>
      </c>
      <c r="P18">
        <v>295.22000000000003</v>
      </c>
    </row>
    <row r="19" ht="15.75">
      <c r="L19" t="s">
        <v>114</v>
      </c>
      <c r="M19">
        <v>110.8</v>
      </c>
      <c r="N19">
        <v>2.91</v>
      </c>
      <c r="O19">
        <v>251.13</v>
      </c>
      <c r="P19">
        <v>322.47000000000003</v>
      </c>
    </row>
    <row r="20" ht="15.75">
      <c r="L20" t="s">
        <v>115</v>
      </c>
      <c r="M20">
        <v>103.8</v>
      </c>
      <c r="N20">
        <v>2.91</v>
      </c>
      <c r="O20">
        <v>224.65</v>
      </c>
      <c r="P20">
        <v>302.19</v>
      </c>
    </row>
    <row r="21" ht="15.75">
      <c r="L21" t="s">
        <v>116</v>
      </c>
      <c r="M21">
        <v>150.19999999999999</v>
      </c>
      <c r="N21">
        <v>2.8</v>
      </c>
      <c r="O21">
        <v>420.48</v>
      </c>
      <c r="P21">
        <v>420.48</v>
      </c>
    </row>
    <row r="22" ht="15.75">
      <c r="L22" t="s">
        <v>117</v>
      </c>
      <c r="M22">
        <v>0</v>
      </c>
      <c r="N22">
        <v>3</v>
      </c>
      <c r="O22">
        <v>0</v>
      </c>
      <c r="P22">
        <v>0</v>
      </c>
    </row>
    <row r="23" ht="15.75">
      <c r="K23" t="s">
        <v>121</v>
      </c>
      <c r="M23">
        <v>1499.5</v>
      </c>
      <c r="N23">
        <v>2.9621052631578939</v>
      </c>
      <c r="O23">
        <v>3665.9900000000002</v>
      </c>
      <c r="P23">
        <v>4416.1600000000008</v>
      </c>
    </row>
  </sheetData>
  <phoneticPr fontId="6" type="noConversion"/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63E3D10-B152-4E13-B379-30B4E0037D9B}">
          <x14:formula1>
            <xm:f>'Listes formulaire'!$C$4:$C$38</xm:f>
          </x14:formula1>
          <xm:sqref>G21:G23 E18:F23 E3:F16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CE795-0625-40A0-9250-936700434871}">
  <sheetPr>
    <tabColor theme="9"/>
  </sheetPr>
  <dimension ref="A1:F23"/>
  <sheetViews>
    <sheetView workbookViewId="0">
      <selection activeCell="L26" sqref="L26"/>
    </sheetView>
  </sheetViews>
  <sheetFormatPr defaultColWidth="11.42578125" defaultRowHeight="15"/>
  <cols>
    <col min="2" max="2" width="18.85546875" bestFit="1" customWidth="1"/>
    <col min="3" max="3" width="15" bestFit="1" customWidth="1"/>
    <col min="5" max="5" width="16.85546875" bestFit="1" customWidth="1"/>
    <col min="6" max="6" width="24" customWidth="1"/>
  </cols>
  <sheetData>
    <row r="1" spans="1:6">
      <c r="A1" s="49" t="s">
        <v>70</v>
      </c>
      <c r="B1" s="49" t="s">
        <v>122</v>
      </c>
      <c r="C1" s="49" t="s">
        <v>71</v>
      </c>
      <c r="D1" s="49" t="s">
        <v>78</v>
      </c>
      <c r="E1" s="52" t="s">
        <v>123</v>
      </c>
      <c r="F1" s="49" t="s">
        <v>124</v>
      </c>
    </row>
    <row r="2" spans="1:6">
      <c r="A2" s="2"/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1722B-B0DE-415E-93AB-B7432A99C7DA}">
  <sheetPr>
    <tabColor rgb="FFFF0000"/>
  </sheetPr>
  <dimension ref="A1:BH85"/>
  <sheetViews>
    <sheetView topLeftCell="AW1" zoomScaleNormal="100" workbookViewId="0">
      <selection activeCell="BC7" sqref="BC7"/>
    </sheetView>
  </sheetViews>
  <sheetFormatPr defaultColWidth="11.42578125" defaultRowHeight="15"/>
  <cols>
    <col min="1" max="1" width="38.42578125" bestFit="1" customWidth="1"/>
    <col min="2" max="2" width="3.7109375" customWidth="1"/>
    <col min="3" max="4" width="14.28515625" customWidth="1"/>
    <col min="5" max="5" width="5.140625" customWidth="1"/>
    <col min="6" max="6" width="37.140625" customWidth="1"/>
    <col min="8" max="8" width="12.85546875" bestFit="1" customWidth="1"/>
    <col min="10" max="10" width="22.140625" bestFit="1" customWidth="1"/>
    <col min="12" max="12" width="13.7109375" bestFit="1" customWidth="1"/>
    <col min="14" max="14" width="31.85546875" bestFit="1" customWidth="1"/>
    <col min="15" max="15" width="11.28515625" customWidth="1"/>
    <col min="17" max="17" width="36" bestFit="1" customWidth="1"/>
    <col min="20" max="20" width="22.5703125" bestFit="1" customWidth="1"/>
    <col min="23" max="23" width="27.28515625" bestFit="1" customWidth="1"/>
    <col min="25" max="25" width="14.85546875" bestFit="1" customWidth="1"/>
    <col min="27" max="27" width="39.7109375" customWidth="1"/>
    <col min="29" max="29" width="22.85546875" bestFit="1" customWidth="1"/>
    <col min="31" max="31" width="22.140625" bestFit="1" customWidth="1"/>
    <col min="33" max="33" width="27.42578125" bestFit="1" customWidth="1"/>
    <col min="35" max="35" width="36.85546875" bestFit="1" customWidth="1"/>
    <col min="37" max="37" width="28.5703125" bestFit="1" customWidth="1"/>
    <col min="39" max="39" width="21.28515625" bestFit="1" customWidth="1"/>
    <col min="41" max="41" width="36" bestFit="1" customWidth="1"/>
    <col min="43" max="43" width="18" bestFit="1" customWidth="1"/>
    <col min="45" max="45" width="32.28515625" bestFit="1" customWidth="1"/>
    <col min="47" max="47" width="13.28515625" bestFit="1" customWidth="1"/>
    <col min="49" max="49" width="38.7109375" bestFit="1" customWidth="1"/>
    <col min="50" max="50" width="14.42578125" customWidth="1"/>
    <col min="52" max="52" width="16.140625" bestFit="1" customWidth="1"/>
    <col min="54" max="54" width="20.85546875" bestFit="1" customWidth="1"/>
    <col min="56" max="56" width="26.140625" customWidth="1"/>
    <col min="58" max="58" width="20.42578125" bestFit="1" customWidth="1"/>
    <col min="60" max="60" width="18.85546875" bestFit="1" customWidth="1"/>
  </cols>
  <sheetData>
    <row r="1" spans="1:60">
      <c r="A1" s="3" t="s">
        <v>9</v>
      </c>
      <c r="C1" s="39" t="s">
        <v>125</v>
      </c>
      <c r="D1" s="40" t="s">
        <v>79</v>
      </c>
      <c r="F1" s="3" t="s">
        <v>87</v>
      </c>
      <c r="H1" s="3" t="s">
        <v>126</v>
      </c>
      <c r="J1" s="3" t="s">
        <v>13</v>
      </c>
      <c r="L1" s="3" t="s">
        <v>15</v>
      </c>
      <c r="N1" s="69" t="s">
        <v>127</v>
      </c>
      <c r="O1" s="3" t="s">
        <v>128</v>
      </c>
      <c r="Q1" s="66" t="s">
        <v>129</v>
      </c>
      <c r="S1" s="106" t="s">
        <v>130</v>
      </c>
      <c r="T1" s="106"/>
      <c r="U1" s="106"/>
      <c r="W1" s="23" t="s">
        <v>131</v>
      </c>
      <c r="Y1" s="3" t="s">
        <v>132</v>
      </c>
      <c r="AA1" s="22" t="s">
        <v>133</v>
      </c>
      <c r="AC1" s="7" t="s">
        <v>62</v>
      </c>
      <c r="AE1" s="22" t="s">
        <v>134</v>
      </c>
      <c r="AG1" s="3" t="s">
        <v>47</v>
      </c>
      <c r="AI1" s="3" t="s">
        <v>135</v>
      </c>
      <c r="AK1" s="3" t="s">
        <v>56</v>
      </c>
      <c r="AM1" s="3" t="s">
        <v>57</v>
      </c>
      <c r="AO1" s="3" t="s">
        <v>58</v>
      </c>
      <c r="AQ1" s="3" t="s">
        <v>136</v>
      </c>
      <c r="AS1" s="3" t="s">
        <v>46</v>
      </c>
      <c r="AU1" s="3" t="s">
        <v>94</v>
      </c>
      <c r="AW1" s="1" t="s">
        <v>137</v>
      </c>
      <c r="AX1" s="1" t="s">
        <v>138</v>
      </c>
      <c r="AZ1" s="43" t="s">
        <v>74</v>
      </c>
      <c r="BB1" s="3" t="s">
        <v>51</v>
      </c>
      <c r="BD1" s="3" t="s">
        <v>91</v>
      </c>
      <c r="BF1" s="50" t="s">
        <v>98</v>
      </c>
      <c r="BH1" s="51" t="s">
        <v>122</v>
      </c>
    </row>
    <row r="2" spans="1:60" ht="15.75">
      <c r="A2" s="2" t="s">
        <v>139</v>
      </c>
      <c r="C2" s="41" t="s">
        <v>140</v>
      </c>
      <c r="D2" s="37" t="s">
        <v>141</v>
      </c>
      <c r="F2" s="5" t="s">
        <v>142</v>
      </c>
      <c r="H2" s="2" t="s">
        <v>143</v>
      </c>
      <c r="J2" s="2" t="s">
        <v>144</v>
      </c>
      <c r="L2" s="2">
        <v>21</v>
      </c>
      <c r="N2" s="2" t="s">
        <v>145</v>
      </c>
      <c r="O2" s="2"/>
      <c r="Q2" s="67" t="s">
        <v>146</v>
      </c>
      <c r="S2" s="3" t="s">
        <v>147</v>
      </c>
      <c r="T2" s="3" t="s">
        <v>148</v>
      </c>
      <c r="U2" s="3" t="s">
        <v>149</v>
      </c>
      <c r="W2" s="20" t="s">
        <v>150</v>
      </c>
      <c r="Y2" s="2" t="s">
        <v>151</v>
      </c>
      <c r="AA2" s="2" t="s">
        <v>152</v>
      </c>
      <c r="AC2" s="2" t="s">
        <v>153</v>
      </c>
      <c r="AE2" s="29" t="s">
        <v>154</v>
      </c>
      <c r="AG2" s="2" t="s">
        <v>155</v>
      </c>
      <c r="AI2" s="2" t="s">
        <v>156</v>
      </c>
      <c r="AK2" s="2" t="s">
        <v>157</v>
      </c>
      <c r="AM2" s="2" t="s">
        <v>158</v>
      </c>
      <c r="AO2" s="2" t="s">
        <v>159</v>
      </c>
      <c r="AQ2" s="2" t="s">
        <v>160</v>
      </c>
      <c r="AS2" s="2" t="s">
        <v>161</v>
      </c>
      <c r="AU2" s="2" t="s">
        <v>162</v>
      </c>
      <c r="AW2" t="s">
        <v>163</v>
      </c>
      <c r="AX2" t="s">
        <v>164</v>
      </c>
      <c r="AZ2" s="2" t="s">
        <v>165</v>
      </c>
      <c r="BB2" s="2" t="s">
        <v>117</v>
      </c>
      <c r="BD2" s="2" t="s">
        <v>166</v>
      </c>
      <c r="BF2" s="10" t="s">
        <v>167</v>
      </c>
      <c r="BH2" t="s">
        <v>168</v>
      </c>
    </row>
    <row r="3" spans="1:60" ht="15.75">
      <c r="A3" s="2" t="s">
        <v>169</v>
      </c>
      <c r="C3" s="11" t="s">
        <v>170</v>
      </c>
      <c r="D3" s="37" t="s">
        <v>141</v>
      </c>
      <c r="F3" s="5" t="s">
        <v>171</v>
      </c>
      <c r="H3" s="2" t="s">
        <v>172</v>
      </c>
      <c r="J3" s="2" t="s">
        <v>173</v>
      </c>
      <c r="L3" s="2">
        <v>31</v>
      </c>
      <c r="N3" s="2" t="s">
        <v>174</v>
      </c>
      <c r="O3" s="2"/>
      <c r="Q3" s="67" t="s">
        <v>175</v>
      </c>
      <c r="S3" s="2" t="s">
        <v>176</v>
      </c>
      <c r="T3" s="2" t="s">
        <v>177</v>
      </c>
      <c r="U3" s="2" t="s">
        <v>178</v>
      </c>
      <c r="W3" s="20" t="s">
        <v>179</v>
      </c>
      <c r="Y3" s="2" t="s">
        <v>180</v>
      </c>
      <c r="AA3" s="2" t="s">
        <v>181</v>
      </c>
      <c r="AC3" s="2" t="s">
        <v>182</v>
      </c>
      <c r="AE3" s="29" t="s">
        <v>183</v>
      </c>
      <c r="AG3" s="2" t="s">
        <v>184</v>
      </c>
      <c r="AI3" s="2" t="s">
        <v>185</v>
      </c>
      <c r="AK3" s="2" t="s">
        <v>186</v>
      </c>
      <c r="AM3" s="2" t="s">
        <v>187</v>
      </c>
      <c r="AO3" s="2" t="s">
        <v>188</v>
      </c>
      <c r="AQ3" s="2" t="s">
        <v>189</v>
      </c>
      <c r="AS3" s="2" t="s">
        <v>190</v>
      </c>
      <c r="AU3" s="2" t="s">
        <v>191</v>
      </c>
      <c r="AW3" t="s">
        <v>192</v>
      </c>
      <c r="AX3" t="s">
        <v>193</v>
      </c>
      <c r="AZ3" s="2" t="s">
        <v>194</v>
      </c>
      <c r="BB3" s="2" t="s">
        <v>195</v>
      </c>
      <c r="BD3" s="2" t="s">
        <v>196</v>
      </c>
      <c r="BF3" s="10" t="s">
        <v>197</v>
      </c>
      <c r="BH3" t="s">
        <v>198</v>
      </c>
    </row>
    <row r="4" spans="1:60" ht="15.75">
      <c r="A4" s="2" t="s">
        <v>199</v>
      </c>
      <c r="C4" s="36" t="s">
        <v>200</v>
      </c>
      <c r="D4" s="37" t="s">
        <v>141</v>
      </c>
      <c r="F4" s="4" t="s">
        <v>201</v>
      </c>
      <c r="H4" s="2" t="s">
        <v>202</v>
      </c>
      <c r="J4" s="2" t="s">
        <v>203</v>
      </c>
      <c r="L4" s="2">
        <v>32</v>
      </c>
      <c r="N4" s="2" t="s">
        <v>204</v>
      </c>
      <c r="O4" s="2"/>
      <c r="Q4" s="67" t="s">
        <v>205</v>
      </c>
      <c r="S4" s="2" t="s">
        <v>206</v>
      </c>
      <c r="T4" s="2" t="s">
        <v>207</v>
      </c>
      <c r="U4" s="2" t="s">
        <v>178</v>
      </c>
      <c r="W4" s="20" t="s">
        <v>208</v>
      </c>
      <c r="Y4" s="2" t="s">
        <v>209</v>
      </c>
      <c r="AA4" s="2" t="s">
        <v>210</v>
      </c>
      <c r="AC4" s="2" t="s">
        <v>211</v>
      </c>
      <c r="AE4" s="29" t="s">
        <v>212</v>
      </c>
      <c r="AG4" s="2"/>
      <c r="AI4" s="2" t="s">
        <v>213</v>
      </c>
      <c r="AK4" s="2" t="s">
        <v>214</v>
      </c>
      <c r="AM4" s="2" t="s">
        <v>215</v>
      </c>
      <c r="AO4" s="2" t="s">
        <v>216</v>
      </c>
      <c r="AQ4" s="2" t="s">
        <v>217</v>
      </c>
      <c r="AS4" s="2" t="s">
        <v>218</v>
      </c>
      <c r="AU4" s="2" t="s">
        <v>219</v>
      </c>
      <c r="AW4" t="s">
        <v>220</v>
      </c>
      <c r="AX4" t="s">
        <v>221</v>
      </c>
      <c r="AZ4" s="2" t="s">
        <v>222</v>
      </c>
      <c r="BB4" s="2" t="s">
        <v>141</v>
      </c>
      <c r="BD4" s="2" t="s">
        <v>223</v>
      </c>
      <c r="BF4" s="10" t="s">
        <v>224</v>
      </c>
      <c r="BH4" t="s">
        <v>225</v>
      </c>
    </row>
    <row r="5" spans="1:60" ht="15.75">
      <c r="A5" s="2" t="s">
        <v>226</v>
      </c>
      <c r="C5" s="36" t="s">
        <v>227</v>
      </c>
      <c r="D5" s="37" t="s">
        <v>141</v>
      </c>
      <c r="F5" s="4" t="s">
        <v>228</v>
      </c>
      <c r="H5" s="2" t="s">
        <v>229</v>
      </c>
      <c r="J5" s="2" t="s">
        <v>218</v>
      </c>
      <c r="L5" s="2">
        <v>33</v>
      </c>
      <c r="N5" s="2" t="s">
        <v>230</v>
      </c>
      <c r="O5" s="2"/>
      <c r="Q5" s="67" t="s">
        <v>231</v>
      </c>
      <c r="S5" s="2" t="s">
        <v>232</v>
      </c>
      <c r="T5" s="2" t="s">
        <v>233</v>
      </c>
      <c r="U5" s="2" t="s">
        <v>178</v>
      </c>
      <c r="W5" s="20" t="s">
        <v>234</v>
      </c>
      <c r="Y5" s="2" t="s">
        <v>235</v>
      </c>
      <c r="AA5" s="2" t="s">
        <v>236</v>
      </c>
      <c r="AC5" s="2" t="s">
        <v>237</v>
      </c>
      <c r="AE5" s="29" t="s">
        <v>238</v>
      </c>
      <c r="AI5" s="2" t="s">
        <v>239</v>
      </c>
      <c r="AK5" s="2" t="s">
        <v>240</v>
      </c>
      <c r="AM5" s="2" t="s">
        <v>241</v>
      </c>
      <c r="AO5" s="2" t="s">
        <v>242</v>
      </c>
      <c r="AQ5" s="2" t="s">
        <v>243</v>
      </c>
      <c r="AS5" s="2" t="s">
        <v>235</v>
      </c>
      <c r="AU5" s="2" t="s">
        <v>244</v>
      </c>
      <c r="AW5" t="s">
        <v>245</v>
      </c>
      <c r="AX5" t="s">
        <v>246</v>
      </c>
      <c r="AZ5" s="2"/>
      <c r="BD5" s="2" t="s">
        <v>247</v>
      </c>
      <c r="BF5" s="10" t="s">
        <v>248</v>
      </c>
      <c r="BH5" t="s">
        <v>249</v>
      </c>
    </row>
    <row r="6" spans="1:60" ht="15.75">
      <c r="A6" s="2" t="s">
        <v>250</v>
      </c>
      <c r="C6" s="36" t="s">
        <v>251</v>
      </c>
      <c r="D6" s="37" t="s">
        <v>141</v>
      </c>
      <c r="F6" s="10" t="s">
        <v>252</v>
      </c>
      <c r="H6" s="2" t="s">
        <v>253</v>
      </c>
      <c r="J6" s="2"/>
      <c r="L6" s="2">
        <v>41</v>
      </c>
      <c r="N6" s="2" t="s">
        <v>218</v>
      </c>
      <c r="O6" s="2"/>
      <c r="Q6" s="67" t="s">
        <v>254</v>
      </c>
      <c r="S6" s="2" t="s">
        <v>255</v>
      </c>
      <c r="T6" s="2" t="s">
        <v>256</v>
      </c>
      <c r="U6" s="2" t="s">
        <v>178</v>
      </c>
      <c r="AA6" s="2" t="s">
        <v>257</v>
      </c>
      <c r="AC6" s="2" t="s">
        <v>258</v>
      </c>
      <c r="AI6" s="2" t="s">
        <v>259</v>
      </c>
      <c r="AK6" s="2" t="s">
        <v>260</v>
      </c>
      <c r="AM6" s="2" t="s">
        <v>261</v>
      </c>
      <c r="AO6" s="2"/>
      <c r="AQ6" s="2" t="s">
        <v>262</v>
      </c>
      <c r="AS6" s="2"/>
      <c r="AU6" s="2"/>
      <c r="AW6" t="s">
        <v>263</v>
      </c>
      <c r="AX6" t="s">
        <v>264</v>
      </c>
      <c r="AZ6" s="2" t="s">
        <v>265</v>
      </c>
      <c r="BD6" s="2" t="s">
        <v>266</v>
      </c>
      <c r="BF6" s="10" t="s">
        <v>267</v>
      </c>
      <c r="BH6" t="s">
        <v>268</v>
      </c>
    </row>
    <row r="7" spans="1:60" ht="15.75">
      <c r="A7" s="2" t="s">
        <v>269</v>
      </c>
      <c r="C7" s="36" t="s">
        <v>270</v>
      </c>
      <c r="D7" s="38" t="s">
        <v>271</v>
      </c>
      <c r="F7" s="4" t="s">
        <v>272</v>
      </c>
      <c r="H7" s="2" t="s">
        <v>273</v>
      </c>
      <c r="J7" s="2"/>
      <c r="L7" s="2">
        <v>51</v>
      </c>
      <c r="N7" s="2" t="s">
        <v>274</v>
      </c>
      <c r="O7" s="2"/>
      <c r="Q7" s="67" t="s">
        <v>275</v>
      </c>
      <c r="S7" s="2" t="s">
        <v>276</v>
      </c>
      <c r="T7" s="2" t="s">
        <v>277</v>
      </c>
      <c r="U7" s="2" t="s">
        <v>178</v>
      </c>
      <c r="AA7" s="2" t="s">
        <v>278</v>
      </c>
      <c r="AC7" s="2" t="s">
        <v>218</v>
      </c>
      <c r="AI7" s="2" t="s">
        <v>279</v>
      </c>
      <c r="AK7" s="2" t="s">
        <v>280</v>
      </c>
      <c r="AM7" s="2" t="s">
        <v>218</v>
      </c>
      <c r="AO7" s="2"/>
      <c r="AQ7" s="2"/>
      <c r="AS7" s="2"/>
      <c r="AU7" s="2"/>
      <c r="AW7" t="s">
        <v>281</v>
      </c>
      <c r="AX7" t="s">
        <v>282</v>
      </c>
      <c r="AZ7" s="2" t="s">
        <v>283</v>
      </c>
      <c r="BD7" s="2" t="s">
        <v>284</v>
      </c>
      <c r="BH7" t="s">
        <v>285</v>
      </c>
    </row>
    <row r="8" spans="1:60" ht="15.75">
      <c r="A8" s="2" t="s">
        <v>286</v>
      </c>
      <c r="C8" s="36" t="s">
        <v>287</v>
      </c>
      <c r="D8" s="38" t="s">
        <v>271</v>
      </c>
      <c r="F8" s="4" t="s">
        <v>288</v>
      </c>
      <c r="H8" s="2" t="s">
        <v>289</v>
      </c>
      <c r="J8" s="2"/>
      <c r="L8" s="2">
        <v>52</v>
      </c>
      <c r="N8" s="2" t="s">
        <v>290</v>
      </c>
      <c r="O8" s="2"/>
      <c r="Q8" s="67" t="s">
        <v>291</v>
      </c>
      <c r="S8" s="2" t="s">
        <v>292</v>
      </c>
      <c r="T8" s="2" t="s">
        <v>293</v>
      </c>
      <c r="U8" s="2" t="s">
        <v>178</v>
      </c>
      <c r="AA8" s="2" t="s">
        <v>218</v>
      </c>
      <c r="AI8" s="2" t="s">
        <v>294</v>
      </c>
      <c r="AK8" s="2" t="s">
        <v>295</v>
      </c>
      <c r="AM8" s="2"/>
      <c r="AO8" s="2"/>
      <c r="AQ8" s="2"/>
      <c r="AS8" s="2"/>
      <c r="AU8" s="2"/>
      <c r="AW8" t="s">
        <v>296</v>
      </c>
      <c r="AX8" t="s">
        <v>297</v>
      </c>
      <c r="AZ8" s="2" t="s">
        <v>298</v>
      </c>
      <c r="BH8" t="s">
        <v>299</v>
      </c>
    </row>
    <row r="9" spans="1:60" ht="15.75">
      <c r="A9" s="2" t="s">
        <v>300</v>
      </c>
      <c r="C9" s="36" t="s">
        <v>301</v>
      </c>
      <c r="D9" s="38" t="s">
        <v>271</v>
      </c>
      <c r="F9" s="4" t="s">
        <v>302</v>
      </c>
      <c r="H9" s="2" t="s">
        <v>303</v>
      </c>
      <c r="J9" s="2"/>
      <c r="L9" s="2">
        <v>53</v>
      </c>
      <c r="N9" s="2" t="s">
        <v>304</v>
      </c>
      <c r="O9" s="2"/>
      <c r="Q9" s="67" t="s">
        <v>305</v>
      </c>
      <c r="S9" s="2" t="s">
        <v>306</v>
      </c>
      <c r="T9" s="2" t="s">
        <v>307</v>
      </c>
      <c r="U9" s="2" t="s">
        <v>308</v>
      </c>
      <c r="AA9" s="2" t="s">
        <v>235</v>
      </c>
      <c r="AI9" s="2" t="s">
        <v>218</v>
      </c>
      <c r="AK9" s="2" t="s">
        <v>309</v>
      </c>
      <c r="AM9" s="2"/>
      <c r="AO9" s="2"/>
      <c r="AQ9" s="2"/>
      <c r="AS9" s="2"/>
      <c r="AU9" s="2"/>
      <c r="AW9" t="s">
        <v>310</v>
      </c>
      <c r="AX9" t="s">
        <v>311</v>
      </c>
      <c r="AZ9" s="2" t="s">
        <v>312</v>
      </c>
      <c r="BH9" t="s">
        <v>313</v>
      </c>
    </row>
    <row r="10" spans="1:60" ht="15.75">
      <c r="A10" s="2" t="s">
        <v>314</v>
      </c>
      <c r="C10" s="36" t="s">
        <v>315</v>
      </c>
      <c r="D10" s="38" t="s">
        <v>271</v>
      </c>
      <c r="F10" s="4" t="s">
        <v>316</v>
      </c>
      <c r="H10" s="2" t="s">
        <v>317</v>
      </c>
      <c r="J10" s="2"/>
      <c r="L10" s="2"/>
      <c r="N10" s="2" t="s">
        <v>318</v>
      </c>
      <c r="O10" s="2"/>
      <c r="Q10" s="67" t="s">
        <v>319</v>
      </c>
      <c r="S10" s="2" t="s">
        <v>320</v>
      </c>
      <c r="T10" s="2" t="s">
        <v>321</v>
      </c>
      <c r="U10" s="2" t="s">
        <v>306</v>
      </c>
      <c r="AA10" s="2"/>
      <c r="AI10" s="2"/>
      <c r="AK10" s="2" t="s">
        <v>218</v>
      </c>
      <c r="AM10" s="2"/>
      <c r="AO10" s="2"/>
      <c r="AQ10" s="2"/>
      <c r="AS10" s="2"/>
      <c r="AU10" s="2"/>
      <c r="AW10" t="s">
        <v>322</v>
      </c>
      <c r="AX10" t="s">
        <v>323</v>
      </c>
      <c r="AZ10" s="2" t="s">
        <v>324</v>
      </c>
      <c r="BH10" t="s">
        <v>325</v>
      </c>
    </row>
    <row r="11" spans="1:60" ht="15.75">
      <c r="A11" s="2" t="s">
        <v>326</v>
      </c>
      <c r="C11" s="36" t="s">
        <v>327</v>
      </c>
      <c r="D11" s="38" t="s">
        <v>271</v>
      </c>
      <c r="F11" s="4" t="s">
        <v>328</v>
      </c>
      <c r="H11" s="2" t="s">
        <v>329</v>
      </c>
      <c r="L11" s="2"/>
      <c r="N11" s="2" t="s">
        <v>252</v>
      </c>
      <c r="O11" s="2"/>
      <c r="Q11" s="67" t="s">
        <v>330</v>
      </c>
      <c r="S11" s="2" t="s">
        <v>331</v>
      </c>
      <c r="T11" s="2" t="s">
        <v>332</v>
      </c>
      <c r="U11" s="2" t="s">
        <v>178</v>
      </c>
      <c r="AA11" s="2"/>
      <c r="AI11" s="2"/>
      <c r="AK11" s="2"/>
      <c r="AM11" s="2"/>
      <c r="AO11" s="2"/>
      <c r="AQ11" s="2"/>
      <c r="AS11" s="2"/>
      <c r="AU11" s="2"/>
      <c r="AW11" t="s">
        <v>333</v>
      </c>
      <c r="AX11" t="s">
        <v>334</v>
      </c>
      <c r="BH11" t="s">
        <v>335</v>
      </c>
    </row>
    <row r="12" spans="1:60" ht="15.75">
      <c r="A12" s="2" t="s">
        <v>218</v>
      </c>
      <c r="C12" s="36" t="s">
        <v>336</v>
      </c>
      <c r="D12" s="38" t="s">
        <v>271</v>
      </c>
      <c r="F12" s="6" t="s">
        <v>337</v>
      </c>
      <c r="H12" s="2" t="s">
        <v>338</v>
      </c>
      <c r="N12" s="2" t="s">
        <v>339</v>
      </c>
      <c r="O12" s="2"/>
      <c r="Q12" s="67" t="s">
        <v>340</v>
      </c>
      <c r="S12" s="2" t="s">
        <v>341</v>
      </c>
      <c r="T12" s="2" t="s">
        <v>342</v>
      </c>
      <c r="U12" s="2" t="s">
        <v>178</v>
      </c>
      <c r="AA12" s="2"/>
      <c r="AI12" s="2"/>
      <c r="AK12" s="2"/>
      <c r="AM12" s="2"/>
      <c r="AO12" s="2"/>
      <c r="AQ12" s="2"/>
      <c r="AS12" s="2"/>
      <c r="AU12" s="2"/>
      <c r="AW12" t="s">
        <v>343</v>
      </c>
      <c r="AX12" t="s">
        <v>344</v>
      </c>
    </row>
    <row r="13" spans="1:60" ht="15.75">
      <c r="A13" s="2" t="s">
        <v>345</v>
      </c>
      <c r="C13" s="36" t="s">
        <v>346</v>
      </c>
      <c r="D13" s="38" t="s">
        <v>271</v>
      </c>
      <c r="F13" s="6" t="s">
        <v>347</v>
      </c>
      <c r="H13" s="2" t="s">
        <v>348</v>
      </c>
      <c r="N13" s="2" t="s">
        <v>349</v>
      </c>
      <c r="O13" s="2"/>
      <c r="Q13" s="67" t="s">
        <v>350</v>
      </c>
      <c r="S13" s="2" t="s">
        <v>351</v>
      </c>
      <c r="T13" s="2" t="s">
        <v>352</v>
      </c>
      <c r="U13" s="2" t="s">
        <v>308</v>
      </c>
      <c r="AA13" s="2"/>
      <c r="AW13" t="s">
        <v>353</v>
      </c>
      <c r="AX13" t="s">
        <v>354</v>
      </c>
    </row>
    <row r="14" spans="1:60" ht="15.75">
      <c r="A14" s="2" t="s">
        <v>355</v>
      </c>
      <c r="C14" s="36" t="s">
        <v>356</v>
      </c>
      <c r="D14" s="38" t="s">
        <v>271</v>
      </c>
      <c r="F14" s="44" t="s">
        <v>357</v>
      </c>
      <c r="H14" s="2" t="s">
        <v>358</v>
      </c>
      <c r="N14" s="2" t="s">
        <v>359</v>
      </c>
      <c r="O14" s="2"/>
      <c r="Q14" s="67" t="s">
        <v>360</v>
      </c>
      <c r="S14" s="2" t="s">
        <v>361</v>
      </c>
      <c r="T14" s="2" t="s">
        <v>362</v>
      </c>
      <c r="U14" s="2" t="s">
        <v>178</v>
      </c>
      <c r="AA14" s="2"/>
      <c r="AW14" t="s">
        <v>363</v>
      </c>
      <c r="AX14" t="s">
        <v>364</v>
      </c>
    </row>
    <row r="15" spans="1:60" ht="15.75">
      <c r="A15" s="2" t="s">
        <v>355</v>
      </c>
      <c r="C15" s="36" t="s">
        <v>365</v>
      </c>
      <c r="D15" s="38" t="s">
        <v>271</v>
      </c>
      <c r="F15" s="44" t="s">
        <v>366</v>
      </c>
      <c r="N15" s="2" t="s">
        <v>367</v>
      </c>
      <c r="O15" s="2"/>
      <c r="Q15" s="67" t="s">
        <v>368</v>
      </c>
      <c r="S15" s="2" t="s">
        <v>369</v>
      </c>
      <c r="T15" s="2" t="s">
        <v>370</v>
      </c>
      <c r="U15" s="2" t="s">
        <v>308</v>
      </c>
      <c r="AW15" t="s">
        <v>371</v>
      </c>
      <c r="AX15" t="s">
        <v>372</v>
      </c>
    </row>
    <row r="16" spans="1:60" ht="15.75">
      <c r="A16" s="2"/>
      <c r="C16" s="36" t="s">
        <v>373</v>
      </c>
      <c r="D16" s="38" t="s">
        <v>271</v>
      </c>
      <c r="F16" s="5" t="s">
        <v>374</v>
      </c>
      <c r="N16" s="2" t="s">
        <v>375</v>
      </c>
      <c r="O16" s="2"/>
      <c r="Q16" s="67" t="s">
        <v>376</v>
      </c>
      <c r="S16" s="2" t="s">
        <v>377</v>
      </c>
      <c r="T16" s="2" t="s">
        <v>378</v>
      </c>
      <c r="U16" s="2" t="s">
        <v>178</v>
      </c>
      <c r="AW16" t="s">
        <v>379</v>
      </c>
      <c r="AX16" t="s">
        <v>380</v>
      </c>
    </row>
    <row r="17" spans="1:50" ht="15.75">
      <c r="A17" s="2"/>
      <c r="C17" s="36" t="s">
        <v>381</v>
      </c>
      <c r="D17" s="38" t="s">
        <v>271</v>
      </c>
      <c r="F17" s="44" t="s">
        <v>382</v>
      </c>
      <c r="N17" s="2" t="s">
        <v>383</v>
      </c>
      <c r="O17" s="2"/>
      <c r="Q17" s="67" t="s">
        <v>384</v>
      </c>
      <c r="S17" s="2" t="s">
        <v>385</v>
      </c>
      <c r="T17" s="2" t="s">
        <v>386</v>
      </c>
      <c r="U17" s="2" t="s">
        <v>178</v>
      </c>
      <c r="AW17" t="s">
        <v>387</v>
      </c>
      <c r="AX17" t="s">
        <v>388</v>
      </c>
    </row>
    <row r="18" spans="1:50" ht="15.75">
      <c r="A18" s="2"/>
      <c r="C18" s="36" t="s">
        <v>389</v>
      </c>
      <c r="D18" s="38" t="s">
        <v>271</v>
      </c>
      <c r="F18" s="6" t="s">
        <v>390</v>
      </c>
      <c r="N18" s="2" t="s">
        <v>391</v>
      </c>
      <c r="O18" s="2"/>
      <c r="Q18" s="67" t="s">
        <v>392</v>
      </c>
      <c r="S18" s="2" t="s">
        <v>393</v>
      </c>
      <c r="T18" s="2" t="s">
        <v>394</v>
      </c>
      <c r="U18" s="2" t="s">
        <v>178</v>
      </c>
      <c r="AW18" t="s">
        <v>395</v>
      </c>
      <c r="AX18" t="s">
        <v>396</v>
      </c>
    </row>
    <row r="19" spans="1:50" ht="15.75">
      <c r="A19" s="2"/>
      <c r="C19" s="36" t="s">
        <v>397</v>
      </c>
      <c r="D19" s="38" t="s">
        <v>271</v>
      </c>
      <c r="F19" s="10" t="s">
        <v>398</v>
      </c>
      <c r="N19" s="2" t="s">
        <v>399</v>
      </c>
      <c r="O19" s="2"/>
      <c r="Q19" s="67" t="s">
        <v>400</v>
      </c>
      <c r="S19" s="2" t="s">
        <v>401</v>
      </c>
      <c r="T19" s="2" t="s">
        <v>402</v>
      </c>
      <c r="U19" s="2" t="s">
        <v>178</v>
      </c>
      <c r="AW19" t="s">
        <v>403</v>
      </c>
      <c r="AX19" t="s">
        <v>404</v>
      </c>
    </row>
    <row r="20" spans="1:50" ht="15.75">
      <c r="A20" s="2"/>
      <c r="C20" s="36" t="s">
        <v>405</v>
      </c>
      <c r="D20" s="38" t="s">
        <v>271</v>
      </c>
      <c r="F20" s="10" t="s">
        <v>406</v>
      </c>
      <c r="N20" s="2" t="s">
        <v>407</v>
      </c>
      <c r="O20" s="2"/>
      <c r="Q20" s="67" t="s">
        <v>408</v>
      </c>
      <c r="S20" s="2" t="s">
        <v>409</v>
      </c>
      <c r="T20" s="2" t="s">
        <v>410</v>
      </c>
      <c r="U20" s="2" t="s">
        <v>178</v>
      </c>
    </row>
    <row r="21" spans="1:50" ht="15.75">
      <c r="A21" s="2"/>
      <c r="C21" s="36" t="s">
        <v>411</v>
      </c>
      <c r="D21" s="38" t="s">
        <v>271</v>
      </c>
      <c r="F21" s="4" t="s">
        <v>218</v>
      </c>
      <c r="N21" s="2" t="s">
        <v>412</v>
      </c>
      <c r="O21" s="2"/>
      <c r="Q21" s="67" t="s">
        <v>413</v>
      </c>
      <c r="S21" s="2" t="s">
        <v>414</v>
      </c>
      <c r="T21" s="2" t="s">
        <v>415</v>
      </c>
      <c r="U21" s="2" t="s">
        <v>178</v>
      </c>
    </row>
    <row r="22" spans="1:50" ht="15.75">
      <c r="A22" s="2"/>
      <c r="C22" s="36" t="s">
        <v>416</v>
      </c>
      <c r="D22" s="38" t="s">
        <v>271</v>
      </c>
      <c r="N22" s="2" t="s">
        <v>417</v>
      </c>
      <c r="O22" s="2"/>
      <c r="Q22" s="67" t="s">
        <v>418</v>
      </c>
      <c r="S22" s="2" t="s">
        <v>419</v>
      </c>
      <c r="T22" s="2" t="s">
        <v>420</v>
      </c>
      <c r="U22" s="2" t="s">
        <v>178</v>
      </c>
    </row>
    <row r="23" spans="1:50" ht="15.75">
      <c r="A23" s="2"/>
      <c r="C23" s="36" t="s">
        <v>421</v>
      </c>
      <c r="D23" s="38" t="s">
        <v>271</v>
      </c>
      <c r="N23" s="2" t="s">
        <v>422</v>
      </c>
      <c r="O23" s="2"/>
      <c r="Q23" s="67" t="s">
        <v>423</v>
      </c>
      <c r="S23" s="2" t="s">
        <v>424</v>
      </c>
      <c r="T23" s="2" t="s">
        <v>425</v>
      </c>
      <c r="U23" s="2" t="s">
        <v>426</v>
      </c>
    </row>
    <row r="24" spans="1:50" ht="15.75">
      <c r="C24" s="36" t="s">
        <v>427</v>
      </c>
      <c r="D24" s="38" t="s">
        <v>271</v>
      </c>
      <c r="N24" s="2" t="s">
        <v>428</v>
      </c>
      <c r="O24" s="2"/>
      <c r="Q24" s="67" t="s">
        <v>429</v>
      </c>
      <c r="S24" s="2" t="s">
        <v>430</v>
      </c>
      <c r="T24" s="2" t="s">
        <v>431</v>
      </c>
      <c r="U24" s="2" t="s">
        <v>178</v>
      </c>
    </row>
    <row r="25" spans="1:50" ht="15.75">
      <c r="C25" s="36" t="s">
        <v>432</v>
      </c>
      <c r="D25" s="38" t="s">
        <v>271</v>
      </c>
      <c r="N25" s="2" t="s">
        <v>433</v>
      </c>
      <c r="O25" s="2"/>
      <c r="Q25" s="67" t="s">
        <v>434</v>
      </c>
      <c r="S25" s="2" t="s">
        <v>435</v>
      </c>
      <c r="T25" s="2" t="s">
        <v>436</v>
      </c>
      <c r="U25" s="2" t="s">
        <v>308</v>
      </c>
    </row>
    <row r="26" spans="1:50" ht="15.75">
      <c r="C26" s="36" t="s">
        <v>437</v>
      </c>
      <c r="D26" s="38" t="s">
        <v>271</v>
      </c>
      <c r="N26" s="2" t="s">
        <v>438</v>
      </c>
      <c r="O26" s="2"/>
      <c r="Q26" s="67" t="s">
        <v>439</v>
      </c>
      <c r="S26" s="2" t="s">
        <v>440</v>
      </c>
      <c r="T26" s="2" t="s">
        <v>441</v>
      </c>
      <c r="U26" s="2" t="s">
        <v>306</v>
      </c>
    </row>
    <row r="27" spans="1:50" ht="15.75">
      <c r="C27" s="36" t="s">
        <v>442</v>
      </c>
      <c r="D27" s="38" t="s">
        <v>271</v>
      </c>
      <c r="F27" s="47" t="s">
        <v>443</v>
      </c>
      <c r="N27" s="2" t="s">
        <v>444</v>
      </c>
      <c r="O27" s="2"/>
      <c r="Q27" s="67" t="s">
        <v>445</v>
      </c>
      <c r="S27" s="2" t="s">
        <v>446</v>
      </c>
      <c r="T27" s="2" t="s">
        <v>447</v>
      </c>
      <c r="U27" s="2" t="s">
        <v>178</v>
      </c>
    </row>
    <row r="28" spans="1:50" ht="15.75">
      <c r="C28" s="4" t="s">
        <v>448</v>
      </c>
      <c r="D28" s="4" t="s">
        <v>271</v>
      </c>
      <c r="F28" s="47" t="s">
        <v>449</v>
      </c>
      <c r="N28" s="2" t="s">
        <v>450</v>
      </c>
      <c r="O28" s="2"/>
      <c r="Q28" s="67" t="s">
        <v>451</v>
      </c>
      <c r="S28" s="2" t="s">
        <v>452</v>
      </c>
      <c r="T28" s="2" t="s">
        <v>453</v>
      </c>
      <c r="U28" s="2" t="s">
        <v>178</v>
      </c>
    </row>
    <row r="29" spans="1:50" ht="15.75">
      <c r="C29" s="36" t="s">
        <v>454</v>
      </c>
      <c r="D29" s="38" t="s">
        <v>271</v>
      </c>
      <c r="F29" s="48" t="s">
        <v>455</v>
      </c>
      <c r="N29" s="2" t="s">
        <v>456</v>
      </c>
      <c r="O29" s="2"/>
      <c r="Q29" s="67" t="s">
        <v>457</v>
      </c>
    </row>
    <row r="30" spans="1:50" ht="15.75">
      <c r="C30" s="36" t="s">
        <v>458</v>
      </c>
      <c r="D30" s="38" t="s">
        <v>271</v>
      </c>
      <c r="F30" s="48" t="s">
        <v>459</v>
      </c>
      <c r="N30" s="2" t="s">
        <v>460</v>
      </c>
      <c r="O30" s="2"/>
      <c r="Q30" s="67" t="s">
        <v>461</v>
      </c>
    </row>
    <row r="31" spans="1:50" ht="15.75">
      <c r="C31" s="36" t="s">
        <v>141</v>
      </c>
      <c r="D31" s="38" t="s">
        <v>141</v>
      </c>
      <c r="F31" s="47" t="s">
        <v>462</v>
      </c>
      <c r="N31" s="2" t="s">
        <v>463</v>
      </c>
      <c r="O31" s="2"/>
      <c r="Q31" s="67" t="s">
        <v>464</v>
      </c>
    </row>
    <row r="32" spans="1:50" ht="15.75">
      <c r="C32" s="36" t="s">
        <v>465</v>
      </c>
      <c r="D32" s="38" t="s">
        <v>465</v>
      </c>
      <c r="F32" s="48" t="s">
        <v>466</v>
      </c>
      <c r="N32" s="2" t="s">
        <v>467</v>
      </c>
      <c r="O32" s="2"/>
      <c r="Q32" s="67" t="s">
        <v>468</v>
      </c>
    </row>
    <row r="33" spans="3:17" ht="15.75">
      <c r="C33" s="36" t="s">
        <v>469</v>
      </c>
      <c r="D33" s="38" t="s">
        <v>469</v>
      </c>
      <c r="F33" s="48" t="s">
        <v>470</v>
      </c>
      <c r="N33" s="2" t="s">
        <v>471</v>
      </c>
      <c r="O33" s="2"/>
      <c r="Q33" s="67" t="s">
        <v>472</v>
      </c>
    </row>
    <row r="34" spans="3:17" ht="15.75">
      <c r="C34" s="36" t="s">
        <v>473</v>
      </c>
      <c r="D34" s="38" t="s">
        <v>474</v>
      </c>
      <c r="F34" s="47" t="s">
        <v>475</v>
      </c>
      <c r="N34" s="2" t="s">
        <v>476</v>
      </c>
      <c r="O34" s="2"/>
      <c r="Q34" s="67" t="s">
        <v>477</v>
      </c>
    </row>
    <row r="35" spans="3:17" ht="15.75">
      <c r="C35" s="36"/>
      <c r="D35" s="38"/>
      <c r="F35" s="48" t="s">
        <v>478</v>
      </c>
      <c r="N35" s="2" t="s">
        <v>479</v>
      </c>
      <c r="O35" s="2"/>
      <c r="Q35" s="67" t="s">
        <v>480</v>
      </c>
    </row>
    <row r="36" spans="3:17" ht="15.75">
      <c r="F36" s="48" t="s">
        <v>337</v>
      </c>
      <c r="N36" s="2" t="s">
        <v>481</v>
      </c>
      <c r="O36" s="2"/>
      <c r="Q36" s="67" t="s">
        <v>482</v>
      </c>
    </row>
    <row r="37" spans="3:17" ht="15.75">
      <c r="F37" s="47" t="s">
        <v>337</v>
      </c>
      <c r="N37" s="2" t="s">
        <v>459</v>
      </c>
      <c r="O37" s="2"/>
      <c r="Q37" s="67" t="s">
        <v>483</v>
      </c>
    </row>
    <row r="38" spans="3:17" ht="15.75">
      <c r="F38" s="48" t="s">
        <v>484</v>
      </c>
      <c r="N38" s="2" t="s">
        <v>485</v>
      </c>
      <c r="O38" s="2"/>
      <c r="Q38" s="67" t="s">
        <v>486</v>
      </c>
    </row>
    <row r="39" spans="3:17" ht="15.75">
      <c r="F39" s="48" t="s">
        <v>274</v>
      </c>
      <c r="N39" s="2" t="s">
        <v>487</v>
      </c>
      <c r="O39" s="2"/>
      <c r="Q39" s="67" t="s">
        <v>488</v>
      </c>
    </row>
    <row r="40" spans="3:17" ht="15.75">
      <c r="F40" s="47" t="s">
        <v>489</v>
      </c>
      <c r="N40" s="2" t="s">
        <v>466</v>
      </c>
      <c r="O40" s="2"/>
      <c r="Q40" s="67" t="s">
        <v>490</v>
      </c>
    </row>
    <row r="41" spans="3:17" ht="15.75">
      <c r="F41" s="47" t="s">
        <v>491</v>
      </c>
      <c r="N41" s="2" t="s">
        <v>492</v>
      </c>
      <c r="O41" s="2"/>
      <c r="Q41" s="67" t="s">
        <v>493</v>
      </c>
    </row>
    <row r="42" spans="3:17" ht="15.75">
      <c r="F42" s="47" t="s">
        <v>494</v>
      </c>
      <c r="N42" s="2" t="s">
        <v>495</v>
      </c>
      <c r="O42" s="2"/>
      <c r="Q42" s="67" t="s">
        <v>496</v>
      </c>
    </row>
    <row r="43" spans="3:17" ht="15.75">
      <c r="F43" s="47" t="s">
        <v>497</v>
      </c>
      <c r="N43" s="2" t="s">
        <v>498</v>
      </c>
      <c r="O43" s="2"/>
      <c r="Q43" s="67" t="s">
        <v>499</v>
      </c>
    </row>
    <row r="44" spans="3:17" ht="15.75">
      <c r="F44" s="47" t="s">
        <v>500</v>
      </c>
      <c r="N44" s="2" t="s">
        <v>501</v>
      </c>
      <c r="O44" s="2"/>
      <c r="Q44" s="67" t="s">
        <v>502</v>
      </c>
    </row>
    <row r="45" spans="3:17">
      <c r="N45" s="2" t="s">
        <v>478</v>
      </c>
      <c r="Q45" s="67" t="s">
        <v>503</v>
      </c>
    </row>
    <row r="46" spans="3:17">
      <c r="N46" s="2" t="s">
        <v>504</v>
      </c>
      <c r="Q46" s="67" t="s">
        <v>505</v>
      </c>
    </row>
    <row r="47" spans="3:17">
      <c r="N47" s="2" t="s">
        <v>337</v>
      </c>
      <c r="Q47" s="67" t="s">
        <v>506</v>
      </c>
    </row>
    <row r="48" spans="3:17">
      <c r="N48" s="2" t="s">
        <v>507</v>
      </c>
      <c r="Q48" s="67" t="s">
        <v>508</v>
      </c>
    </row>
    <row r="49" spans="14:17">
      <c r="N49" s="2" t="s">
        <v>509</v>
      </c>
      <c r="Q49" s="67" t="s">
        <v>510</v>
      </c>
    </row>
    <row r="50" spans="14:17">
      <c r="N50" s="2" t="s">
        <v>511</v>
      </c>
      <c r="Q50" s="67" t="s">
        <v>512</v>
      </c>
    </row>
    <row r="51" spans="14:17">
      <c r="N51" s="2" t="s">
        <v>513</v>
      </c>
      <c r="Q51" s="67" t="s">
        <v>514</v>
      </c>
    </row>
    <row r="52" spans="14:17">
      <c r="N52" s="2" t="s">
        <v>515</v>
      </c>
      <c r="Q52" s="67" t="s">
        <v>516</v>
      </c>
    </row>
    <row r="53" spans="14:17">
      <c r="N53" s="2" t="s">
        <v>517</v>
      </c>
      <c r="Q53" s="67" t="s">
        <v>518</v>
      </c>
    </row>
    <row r="54" spans="14:17">
      <c r="N54" s="2" t="s">
        <v>519</v>
      </c>
      <c r="Q54" s="67" t="s">
        <v>520</v>
      </c>
    </row>
    <row r="55" spans="14:17">
      <c r="N55" s="2" t="s">
        <v>521</v>
      </c>
      <c r="Q55" s="67" t="s">
        <v>522</v>
      </c>
    </row>
    <row r="56" spans="14:17">
      <c r="N56" s="2" t="s">
        <v>523</v>
      </c>
      <c r="Q56" s="67" t="s">
        <v>524</v>
      </c>
    </row>
    <row r="57" spans="14:17">
      <c r="N57" s="2" t="s">
        <v>525</v>
      </c>
      <c r="Q57" s="67" t="s">
        <v>526</v>
      </c>
    </row>
    <row r="58" spans="14:17">
      <c r="N58" s="2" t="s">
        <v>527</v>
      </c>
      <c r="Q58" s="67" t="s">
        <v>528</v>
      </c>
    </row>
    <row r="59" spans="14:17">
      <c r="N59" s="2" t="s">
        <v>529</v>
      </c>
      <c r="Q59" s="67" t="s">
        <v>530</v>
      </c>
    </row>
    <row r="60" spans="14:17">
      <c r="N60" s="2" t="s">
        <v>484</v>
      </c>
      <c r="Q60" s="67" t="s">
        <v>531</v>
      </c>
    </row>
    <row r="61" spans="14:17">
      <c r="N61" s="2" t="s">
        <v>532</v>
      </c>
      <c r="Q61" s="67" t="s">
        <v>533</v>
      </c>
    </row>
    <row r="62" spans="14:17">
      <c r="N62" s="2"/>
      <c r="Q62" s="67" t="s">
        <v>534</v>
      </c>
    </row>
    <row r="63" spans="14:17">
      <c r="N63" s="2"/>
      <c r="Q63" s="67" t="s">
        <v>535</v>
      </c>
    </row>
    <row r="64" spans="14:17">
      <c r="N64" s="2"/>
      <c r="Q64" s="67" t="s">
        <v>536</v>
      </c>
    </row>
    <row r="65" spans="17:17">
      <c r="Q65" s="67" t="s">
        <v>537</v>
      </c>
    </row>
    <row r="66" spans="17:17">
      <c r="Q66" s="67" t="s">
        <v>538</v>
      </c>
    </row>
    <row r="67" spans="17:17">
      <c r="Q67" s="67" t="s">
        <v>539</v>
      </c>
    </row>
    <row r="68" spans="17:17">
      <c r="Q68" s="67" t="s">
        <v>540</v>
      </c>
    </row>
    <row r="69" spans="17:17">
      <c r="Q69" s="67" t="s">
        <v>541</v>
      </c>
    </row>
    <row r="70" spans="17:17">
      <c r="Q70" s="67" t="s">
        <v>542</v>
      </c>
    </row>
    <row r="71" spans="17:17">
      <c r="Q71" s="67" t="s">
        <v>543</v>
      </c>
    </row>
    <row r="72" spans="17:17">
      <c r="Q72" s="67" t="s">
        <v>544</v>
      </c>
    </row>
    <row r="73" spans="17:17">
      <c r="Q73" s="67" t="s">
        <v>545</v>
      </c>
    </row>
    <row r="74" spans="17:17">
      <c r="Q74" s="67" t="s">
        <v>546</v>
      </c>
    </row>
    <row r="75" spans="17:17">
      <c r="Q75" s="67" t="s">
        <v>547</v>
      </c>
    </row>
    <row r="76" spans="17:17">
      <c r="Q76" s="67" t="s">
        <v>548</v>
      </c>
    </row>
    <row r="77" spans="17:17">
      <c r="Q77" s="67" t="s">
        <v>549</v>
      </c>
    </row>
    <row r="78" spans="17:17">
      <c r="Q78" s="67" t="s">
        <v>550</v>
      </c>
    </row>
    <row r="79" spans="17:17">
      <c r="Q79" s="67" t="s">
        <v>551</v>
      </c>
    </row>
    <row r="80" spans="17:17">
      <c r="Q80" s="67" t="s">
        <v>552</v>
      </c>
    </row>
    <row r="81" spans="17:17">
      <c r="Q81" s="67" t="s">
        <v>553</v>
      </c>
    </row>
    <row r="82" spans="17:17">
      <c r="Q82" s="68" t="s">
        <v>554</v>
      </c>
    </row>
    <row r="83" spans="17:17">
      <c r="Q83" s="68" t="s">
        <v>555</v>
      </c>
    </row>
    <row r="84" spans="17:17">
      <c r="Q84" s="68" t="s">
        <v>556</v>
      </c>
    </row>
    <row r="85" spans="17:17">
      <c r="Q85" s="68" t="s">
        <v>557</v>
      </c>
    </row>
  </sheetData>
  <autoFilter ref="N1:N61" xr:uid="{9D51722B-B0DE-415E-93AB-B7432A99C7DA}">
    <sortState xmlns:xlrd2="http://schemas.microsoft.com/office/spreadsheetml/2017/richdata2" ref="N2:N61">
      <sortCondition ref="N1:N61"/>
    </sortState>
  </autoFilter>
  <sortState xmlns:xlrd2="http://schemas.microsoft.com/office/spreadsheetml/2017/richdata2" ref="F3:F38">
    <sortCondition ref="F38"/>
  </sortState>
  <mergeCells count="1">
    <mergeCell ref="S1:U1"/>
  </mergeCells>
  <phoneticPr fontId="6" type="noConversion"/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A261CC1C6850458EB260E35C89682C" ma:contentTypeVersion="27" ma:contentTypeDescription="Crée un document." ma:contentTypeScope="" ma:versionID="e3b33007f4c6774aef103e98fd424bd2">
  <xsd:schema xmlns:xsd="http://www.w3.org/2001/XMLSchema" xmlns:xs="http://www.w3.org/2001/XMLSchema" xmlns:p="http://schemas.microsoft.com/office/2006/metadata/properties" xmlns:ns2="b051f48c-c186-4800-89b0-f5da3c910b78" xmlns:ns3="6737bd41-5342-4ecf-aa56-e60e06b5a45d" targetNamespace="http://schemas.microsoft.com/office/2006/metadata/properties" ma:root="true" ma:fieldsID="fd7cda0534c3f708f39d97809756ac97" ns2:_="" ns3:_="">
    <xsd:import namespace="b051f48c-c186-4800-89b0-f5da3c910b78"/>
    <xsd:import namespace="6737bd41-5342-4ecf-aa56-e60e06b5a4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Statut" minOccurs="0"/>
                <xsd:element ref="ns2:Validation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51f48c-c186-4800-89b0-f5da3c910b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t" ma:index="16" nillable="true" ma:displayName="Statut" ma:format="RadioButtons" ma:internalName="Statut">
      <xsd:simpleType>
        <xsd:union memberTypes="dms:Text">
          <xsd:simpleType>
            <xsd:restriction base="dms:Choice">
              <xsd:enumeration value="En attente OK SAN"/>
              <xsd:enumeration value="À relire + mise en page"/>
              <xsd:enumeration value="OK pour impression"/>
            </xsd:restriction>
          </xsd:simpleType>
        </xsd:union>
      </xsd:simpleType>
    </xsd:element>
    <xsd:element name="Validation" ma:index="17" nillable="true" ma:displayName="Validation" ma:format="Dropdown" ma:internalName="Validation">
      <xsd:simpleType>
        <xsd:restriction base="dms:Choice">
          <xsd:enumeration value="Validé"/>
          <xsd:enumeration value="Refusé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alises d’images" ma:readOnly="false" ma:fieldId="{5cf76f15-5ced-4ddc-b409-7134ff3c332f}" ma:taxonomyMulti="true" ma:sspId="9cc4a974-82e7-41c0-b617-37087d24fe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37bd41-5342-4ecf-aa56-e60e06b5a45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664655c2-b320-4496-998d-19d10e46543d}" ma:internalName="TaxCatchAll" ma:showField="CatchAllData" ma:web="6737bd41-5342-4ecf-aa56-e60e06b5a4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37bd41-5342-4ecf-aa56-e60e06b5a45d" xsi:nil="true"/>
    <Statut xmlns="b051f48c-c186-4800-89b0-f5da3c910b78" xsi:nil="true"/>
    <lcf76f155ced4ddcb4097134ff3c332f xmlns="b051f48c-c186-4800-89b0-f5da3c910b78">
      <Terms xmlns="http://schemas.microsoft.com/office/infopath/2007/PartnerControls"/>
    </lcf76f155ced4ddcb4097134ff3c332f>
    <Validation xmlns="b051f48c-c186-4800-89b0-f5da3c910b78" xsi:nil="true"/>
  </documentManagement>
</p:properties>
</file>

<file path=customXml/itemProps1.xml><?xml version="1.0" encoding="utf-8"?>
<ds:datastoreItem xmlns:ds="http://schemas.openxmlformats.org/officeDocument/2006/customXml" ds:itemID="{7CFCB91B-29E3-4F60-A8E6-2118C105E3F4}"/>
</file>

<file path=customXml/itemProps2.xml><?xml version="1.0" encoding="utf-8"?>
<ds:datastoreItem xmlns:ds="http://schemas.openxmlformats.org/officeDocument/2006/customXml" ds:itemID="{262047E2-F6EF-4FAB-A0F6-9E5402084EFA}"/>
</file>

<file path=customXml/itemProps3.xml><?xml version="1.0" encoding="utf-8"?>
<ds:datastoreItem xmlns:ds="http://schemas.openxmlformats.org/officeDocument/2006/customXml" ds:itemID="{FE0C382A-CF57-4C4C-A569-F5D51F28BB8C}"/>
</file>

<file path=customXml/itemProps4.xml><?xml version="1.0" encoding="utf-8"?>
<ds:datastoreItem xmlns:ds="http://schemas.openxmlformats.org/officeDocument/2006/customXml" ds:itemID="{12129B96-B519-429C-BEA5-3DC129F983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Lopez-Rios Antonio</dc:creator>
  <cp:keywords/>
  <dc:description/>
  <cp:lastModifiedBy/>
  <cp:revision/>
  <dcterms:created xsi:type="dcterms:W3CDTF">2025-01-29T11:36:34Z</dcterms:created>
  <dcterms:modified xsi:type="dcterms:W3CDTF">2026-10-22T11:32:57Z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0x010100BBA261CC1C6850458EB260E35C89682C</vt:lpwstr>
  </property>
  <property fmtid="{D5CDD505-2E9C-101B-9397-08002B2CF9AE}" pid="3" name="MediaServiceImageTags">
    <vt:lpwstr/>
  </property>
</Properties>
</file>